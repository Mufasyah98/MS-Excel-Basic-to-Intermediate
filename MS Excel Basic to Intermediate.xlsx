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akhrul Syahmi\Desktop\"/>
    </mc:Choice>
  </mc:AlternateContent>
  <xr:revisionPtr revIDLastSave="0" documentId="8_{CCB370C5-613C-4F37-B2D9-764B0D40158F}" xr6:coauthVersionLast="47" xr6:coauthVersionMax="47" xr10:uidLastSave="{00000000-0000-0000-0000-000000000000}"/>
  <bookViews>
    <workbookView xWindow="-108" yWindow="-108" windowWidth="23256" windowHeight="12456" firstSheet="14" activeTab="16" xr2:uid="{A5D6FD8F-7AFF-4369-969C-BE49667E6CC7}"/>
  </bookViews>
  <sheets>
    <sheet name="Course Overview" sheetId="2" r:id="rId1"/>
    <sheet name="About Trainer" sheetId="3" r:id="rId2"/>
    <sheet name="M1-Introduction" sheetId="4" r:id="rId3"/>
    <sheet name="M2-Data Entry" sheetId="5" r:id="rId4"/>
    <sheet name="M3-Formatting" sheetId="6" r:id="rId5"/>
    <sheet name="M4-Essential Formulas" sheetId="7" r:id="rId6"/>
    <sheet name="M5-Intermediate Functions" sheetId="8" r:id="rId7"/>
    <sheet name="M6-Lookup Functions" sheetId="9" r:id="rId8"/>
    <sheet name="M7-Excel Tables" sheetId="10" r:id="rId9"/>
    <sheet name="M8-Pivot Table" sheetId="11" r:id="rId10"/>
    <sheet name="M9-Charts" sheetId="12" r:id="rId11"/>
    <sheet name="Employee Dataset" sheetId="13" r:id="rId12"/>
    <sheet name="Sales Dataset" sheetId="14" r:id="rId13"/>
    <sheet name="Exercises" sheetId="15" r:id="rId14"/>
    <sheet name="Mini Quiz" sheetId="17" r:id="rId15"/>
    <sheet name="Final Assessment" sheetId="18" r:id="rId16"/>
    <sheet name="Final Project Data" sheetId="19" r:id="rId17"/>
    <sheet name="Answer Key" sheetId="16" r:id="rId18"/>
    <sheet name="Trainer Notes" sheetId="20"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0" i="16" l="1"/>
  <c r="A41" i="16"/>
  <c r="A42" i="16"/>
  <c r="A43" i="16"/>
  <c r="A44" i="16"/>
  <c r="A45" i="16"/>
  <c r="A47" i="16"/>
  <c r="H24" i="9"/>
  <c r="H23" i="9"/>
  <c r="H22" i="9"/>
  <c r="H21" i="9"/>
  <c r="F21" i="9"/>
  <c r="G21" i="9"/>
  <c r="F22" i="9"/>
  <c r="G22" i="9"/>
  <c r="F23" i="9"/>
  <c r="G23" i="9"/>
  <c r="F24" i="9"/>
  <c r="G24" i="9"/>
  <c r="G25" i="8"/>
  <c r="G26" i="8"/>
  <c r="G27" i="8"/>
  <c r="G28" i="8"/>
  <c r="G29" i="8"/>
  <c r="G30" i="8"/>
  <c r="G31" i="8"/>
  <c r="G32" i="8"/>
  <c r="G33" i="8"/>
  <c r="G34" i="8"/>
  <c r="I12" i="7"/>
  <c r="I11" i="7"/>
  <c r="I10" i="7"/>
  <c r="I9" i="7"/>
  <c r="I8" i="7"/>
  <c r="I7" i="7"/>
  <c r="I6" i="7"/>
  <c r="I5" i="7"/>
  <c r="I4" i="7"/>
  <c r="G21" i="7"/>
  <c r="G22" i="7"/>
  <c r="G23" i="7"/>
  <c r="G24" i="7"/>
  <c r="G25" i="7"/>
  <c r="G26" i="7"/>
  <c r="G27" i="7"/>
  <c r="G28" i="7" a="1"/>
  <c r="G28" i="7" s="1"/>
  <c r="G2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<sst xmlns="http://schemas.openxmlformats.org/spreadsheetml/2006/main" count="2372" uniqueCount="1358">
  <si>
    <t>MICROSOFT EXCEL 365 TRAINING PROGRAM</t>
  </si>
  <si>
    <t>Basic to Intermediate Level</t>
  </si>
  <si>
    <t>TRAINING OBJECTIVES</t>
  </si>
  <si>
    <t>Develop fundamental Excel skills for daily workplace tasks</t>
  </si>
  <si>
    <t>Master essential formulas and functions for data analysis</t>
  </si>
  <si>
    <t>Learn data organization, formatting, and presentation techniques</t>
  </si>
  <si>
    <t>Build proficiency in Pivot Tables and data visualization</t>
  </si>
  <si>
    <t>Create professional dashboards and reports</t>
  </si>
  <si>
    <t>LEARNING OUTCOMES</t>
  </si>
  <si>
    <t>Upon completion, participants will be able to:</t>
  </si>
  <si>
    <t>✓</t>
  </si>
  <si>
    <t>Navigate Excel 365 interface confidently</t>
  </si>
  <si>
    <t>Enter, edit, and manage data efficiently</t>
  </si>
  <si>
    <t>Apply professional formatting and conditional formatting</t>
  </si>
  <si>
    <t>Use essential formulas: SUM, AVERAGE, COUNT, MAX, MIN</t>
  </si>
  <si>
    <t>Apply intermediate functions: IF, SUMIF, COUNTIF, VLOOKUP, XLOOKUP</t>
  </si>
  <si>
    <t>Create and manage Excel Tables</t>
  </si>
  <si>
    <t>Build Pivot Tables and Pivot Charts</t>
  </si>
  <si>
    <t>Design professional charts and dashboards</t>
  </si>
  <si>
    <t>TRAINING AGENDA</t>
  </si>
  <si>
    <t>DAY 1</t>
  </si>
  <si>
    <t>TIME</t>
  </si>
  <si>
    <t>MODULE</t>
  </si>
  <si>
    <t>TOPIC</t>
  </si>
  <si>
    <t>DURATION</t>
  </si>
  <si>
    <t>9:00 AM - 9:30 AM</t>
  </si>
  <si>
    <t>Opening</t>
  </si>
  <si>
    <t>Registration &amp; Ice Breaking</t>
  </si>
  <si>
    <t>30 min</t>
  </si>
  <si>
    <t>9:30 AM - 10:30 AM</t>
  </si>
  <si>
    <t>Module 1</t>
  </si>
  <si>
    <t>Introduction to Excel 365</t>
  </si>
  <si>
    <t>60 min</t>
  </si>
  <si>
    <t>10:30 AM - 10:45 AM</t>
  </si>
  <si>
    <t>Break</t>
  </si>
  <si>
    <t>15 min</t>
  </si>
  <si>
    <t>10:45 AM - 12:00 PM</t>
  </si>
  <si>
    <t>Module 2</t>
  </si>
  <si>
    <t>Workbook and Data Entry</t>
  </si>
  <si>
    <t>75 min</t>
  </si>
  <si>
    <t>12:00 PM - 1:00 PM</t>
  </si>
  <si>
    <t>Lunch Break</t>
  </si>
  <si>
    <t>1:00 PM - 2:30 PM</t>
  </si>
  <si>
    <t>Module 3</t>
  </si>
  <si>
    <t>Formatting and Organizing Data</t>
  </si>
  <si>
    <t>90 min</t>
  </si>
  <si>
    <t>2:30 PM - 2:45 PM</t>
  </si>
  <si>
    <t>2:45 PM - 4:30 PM</t>
  </si>
  <si>
    <t>Module 4</t>
  </si>
  <si>
    <t>Essential Formulas</t>
  </si>
  <si>
    <t>105 min</t>
  </si>
  <si>
    <t>4:30 PM - 5:00 PM</t>
  </si>
  <si>
    <t>Day 1 Wrap-up &amp; Q&amp;A</t>
  </si>
  <si>
    <t>DAY 2</t>
  </si>
  <si>
    <t>9:00 AM - 9:15 AM</t>
  </si>
  <si>
    <t>Day 1 Recap</t>
  </si>
  <si>
    <t>9:15 AM - 10:30 AM</t>
  </si>
  <si>
    <t>Module 5</t>
  </si>
  <si>
    <t>Intermediate Functions</t>
  </si>
  <si>
    <t>Module 6</t>
  </si>
  <si>
    <t>Lookup Functions (VLOOKUP &amp; XLOOKUP)</t>
  </si>
  <si>
    <t>1:00 PM - 2:00 PM</t>
  </si>
  <si>
    <t>Module 7</t>
  </si>
  <si>
    <t>Excel Tables</t>
  </si>
  <si>
    <t>2:00 PM - 3:00 PM</t>
  </si>
  <si>
    <t>Module 8</t>
  </si>
  <si>
    <t>Pivot Tables &amp; Pivot Charts</t>
  </si>
  <si>
    <t>3:00 PM - 3:15 PM</t>
  </si>
  <si>
    <t>3:15 PM - 4:00 PM</t>
  </si>
  <si>
    <t>Module 9</t>
  </si>
  <si>
    <t>Charts &amp; Data Visualization</t>
  </si>
  <si>
    <t>45 min</t>
  </si>
  <si>
    <t>4:00 PM - 4:45 PM</t>
  </si>
  <si>
    <t>Final Project</t>
  </si>
  <si>
    <t>Sales Dashboard Mini Project</t>
  </si>
  <si>
    <t>4:45 PM - 5:00 PM</t>
  </si>
  <si>
    <t>Closing &amp; Certificate Distribution</t>
  </si>
  <si>
    <t>ABOUT YOUR TRAINER</t>
  </si>
  <si>
    <t>[INSERT TRAINER PHOTO HERE]</t>
  </si>
  <si>
    <t>TRAINER NAME</t>
  </si>
  <si>
    <t>Fakhrul Syahmi</t>
  </si>
  <si>
    <t>PROFESSIONAL TITLE</t>
  </si>
  <si>
    <t>Data Consultant | Data Analyst | Corporate Trainer</t>
  </si>
  <si>
    <t>PROFILE</t>
  </si>
  <si>
    <t>Fakhrul Syahmi is an experienced Data Consultant and Corporate Trainer specializing in Microsoft Excel, Power BI, Data Analytics, AI and Business Intelligence. He has delivered training for government agencies, MNCs and higher education institutions.</t>
  </si>
  <si>
    <t>AREAS OF SPECIALIZATION</t>
  </si>
  <si>
    <t>• Microsoft Excel</t>
  </si>
  <si>
    <t>• Power BI</t>
  </si>
  <si>
    <t>• Data Analytics</t>
  </si>
  <si>
    <t>• AI for Productivity</t>
  </si>
  <si>
    <t>• Microsoft Copilot</t>
  </si>
  <si>
    <t>• Power Platform</t>
  </si>
  <si>
    <t>EDUCATION</t>
  </si>
  <si>
    <t>• Master of Data Science</t>
  </si>
  <si>
    <t>• Bachelor of Economics</t>
  </si>
  <si>
    <t>CONTACT</t>
  </si>
  <si>
    <t>[Insert contact information]</t>
  </si>
  <si>
    <t>MODULE 1: INTRODUCTION TO EXCEL 365</t>
  </si>
  <si>
    <t>Day 1 | Duration: 60 minutes</t>
  </si>
  <si>
    <t>LEARNING OBJECTIVES</t>
  </si>
  <si>
    <t>• Understand what Excel 365 is and its capabilities</t>
  </si>
  <si>
    <t>• Navigate the Excel interface confidently</t>
  </si>
  <si>
    <t>• Identify key components: Ribbon, Quick Access Toolbar, Formula Bar</t>
  </si>
  <si>
    <t>• Understand workbooks, worksheets, cells, rows, and columns</t>
  </si>
  <si>
    <t>TRAINER NOTES</t>
  </si>
  <si>
    <t>Start with an interactive discussion about participants' current Excel usage.</t>
  </si>
  <si>
    <t>Ask: 'How many of you use Excel daily? What do you use it for?'</t>
  </si>
  <si>
    <t>This helps gauge the audience level and tailor examples accordingly.</t>
  </si>
  <si>
    <t>WHAT IS MICROSOFT EXCEL 365?</t>
  </si>
  <si>
    <t>Microsoft Excel 365 is a powerful spreadsheet application that is part of</t>
  </si>
  <si>
    <t>the Microsoft 365 suite. It enables users to:</t>
  </si>
  <si>
    <t>• Organize data in rows and columns</t>
  </si>
  <si>
    <t>• Perform calculations using formulas and functions</t>
  </si>
  <si>
    <t>• Analyze data with Pivot Tables and charts</t>
  </si>
  <si>
    <t>• Create professional reports and dashboards</t>
  </si>
  <si>
    <t>• Collaborate in real-time with cloud features</t>
  </si>
  <si>
    <t>KEY EXCEL TERMINOLOGY</t>
  </si>
  <si>
    <t>DESCRIPTION</t>
  </si>
  <si>
    <t>Workbook</t>
  </si>
  <si>
    <t>An Excel file that contains one or more worksheets</t>
  </si>
  <si>
    <t>Worksheet/Sheet</t>
  </si>
  <si>
    <t>A single page within a workbook (tabs at bottom)</t>
  </si>
  <si>
    <t>Cell</t>
  </si>
  <si>
    <t>The intersection of a row and column (e.g., A1, B5)</t>
  </si>
  <si>
    <t>Row</t>
  </si>
  <si>
    <t>Horizontal lines numbered 1, 2, 3...</t>
  </si>
  <si>
    <t>Column</t>
  </si>
  <si>
    <t>Vertical lines labeled A, B, C... AA, AB...</t>
  </si>
  <si>
    <t>Range</t>
  </si>
  <si>
    <t>A group of cells (e.g., A1:D10)</t>
  </si>
  <si>
    <t>Formula Bar</t>
  </si>
  <si>
    <t>Shows the content or formula of the active cell</t>
  </si>
  <si>
    <t>Name Box</t>
  </si>
  <si>
    <t>Displays the address of the active cell</t>
  </si>
  <si>
    <t>Ribbon</t>
  </si>
  <si>
    <t>The toolbar at the top with tabs (Home, Insert, etc.)</t>
  </si>
  <si>
    <t>EXCEL INTERFACE COMPONENTS</t>
  </si>
  <si>
    <t>1. RIBBON TABS</t>
  </si>
  <si>
    <t>Tab</t>
  </si>
  <si>
    <t>Purpose</t>
  </si>
  <si>
    <t>Home</t>
  </si>
  <si>
    <t>Basic editing, formatting, clipboard, alignment</t>
  </si>
  <si>
    <t>Insert</t>
  </si>
  <si>
    <t>Add tables, charts, images, shapes, pivot tables</t>
  </si>
  <si>
    <t>Page Layout</t>
  </si>
  <si>
    <t>Page setup, themes, margins, print area</t>
  </si>
  <si>
    <t>Formulas</t>
  </si>
  <si>
    <t>Function library, formula auditing, calculations</t>
  </si>
  <si>
    <t>Data</t>
  </si>
  <si>
    <t>Sort, filter, data tools, connections</t>
  </si>
  <si>
    <t>Review</t>
  </si>
  <si>
    <t>Spelling, comments, protect workbook</t>
  </si>
  <si>
    <t>View</t>
  </si>
  <si>
    <t>Workbook views, zoom, freeze panes</t>
  </si>
  <si>
    <t>2. QUICK ACCESS TOOLBAR</t>
  </si>
  <si>
    <t>Located at the top-left corner for frequently used commands</t>
  </si>
  <si>
    <t>Customizable - right-click to add your favorite commands</t>
  </si>
  <si>
    <t>3. FORMULA BAR</t>
  </si>
  <si>
    <t>Shows the content of the active cell</t>
  </si>
  <si>
    <t>Where you enter and edit formulas</t>
  </si>
  <si>
    <t>KEYBOARD SHORTCUTS - ESSENTIAL</t>
  </si>
  <si>
    <t>Shortcut</t>
  </si>
  <si>
    <t>Action</t>
  </si>
  <si>
    <t>Ctrl + N</t>
  </si>
  <si>
    <t>New workbook</t>
  </si>
  <si>
    <t>Ctrl + O</t>
  </si>
  <si>
    <t>Open workbook</t>
  </si>
  <si>
    <t>Ctrl + S</t>
  </si>
  <si>
    <t>Save</t>
  </si>
  <si>
    <t>Ctrl + Z</t>
  </si>
  <si>
    <t>Undo</t>
  </si>
  <si>
    <t>Ctrl + Y</t>
  </si>
  <si>
    <t>Redo</t>
  </si>
  <si>
    <t>Ctrl + C</t>
  </si>
  <si>
    <t>Copy</t>
  </si>
  <si>
    <t>Ctrl + V</t>
  </si>
  <si>
    <t>Paste</t>
  </si>
  <si>
    <t>Ctrl + X</t>
  </si>
  <si>
    <t>Cut</t>
  </si>
  <si>
    <t>Ctrl + Home</t>
  </si>
  <si>
    <t>Go to cell A1</t>
  </si>
  <si>
    <t>Ctrl + End</t>
  </si>
  <si>
    <t>Go to last used cell</t>
  </si>
  <si>
    <t>Ctrl + Arrow</t>
  </si>
  <si>
    <t>Jump to edge of data region</t>
  </si>
  <si>
    <t>F2</t>
  </si>
  <si>
    <t>Edit active cell</t>
  </si>
  <si>
    <t>Move to next cell (right)</t>
  </si>
  <si>
    <t>Enter</t>
  </si>
  <si>
    <t>Move to next cell (down)</t>
  </si>
  <si>
    <t>PRACTICE TASK 1</t>
  </si>
  <si>
    <t>1. Open a new Excel workbook</t>
  </si>
  <si>
    <t>2. Identify and locate the following:</t>
  </si>
  <si>
    <t xml:space="preserve">   - Ribbon tabs</t>
  </si>
  <si>
    <t xml:space="preserve">   - Quick Access Toolbar</t>
  </si>
  <si>
    <t xml:space="preserve">   - Formula Bar</t>
  </si>
  <si>
    <t xml:space="preserve">   - Name Box</t>
  </si>
  <si>
    <t xml:space="preserve">   - Sheet tabs at the bottom</t>
  </si>
  <si>
    <t>3. Click on cell E10 and observe the Name Box</t>
  </si>
  <si>
    <t>4. Type your name in cell A1 and press Enter</t>
  </si>
  <si>
    <t>PRACTICE TASK 2</t>
  </si>
  <si>
    <t>1. Navigate to cell Z100 using the Name Box</t>
  </si>
  <si>
    <t>2. Press Ctrl + Home to return to A1</t>
  </si>
  <si>
    <t>3. Select the range A1:D10 by clicking and dragging</t>
  </si>
  <si>
    <t>4. Try selecting the same range using Shift + Click</t>
  </si>
  <si>
    <t>QUIZ QUESTIONS - MODULE 1</t>
  </si>
  <si>
    <t>Q1. What is a workbook in Excel?</t>
  </si>
  <si>
    <t xml:space="preserve">    A) A single page in Excel</t>
  </si>
  <si>
    <t xml:space="preserve">    B) An Excel file containing worksheets</t>
  </si>
  <si>
    <t xml:space="preserve">    C) A formula</t>
  </si>
  <si>
    <t xml:space="preserve">    D) A cell reference</t>
  </si>
  <si>
    <t xml:space="preserve">    Answer: B</t>
  </si>
  <si>
    <t>Q2. Which keyboard shortcut saves a workbook?</t>
  </si>
  <si>
    <t xml:space="preserve">    A) Ctrl + N</t>
  </si>
  <si>
    <t xml:space="preserve">    B) Ctrl + S</t>
  </si>
  <si>
    <t xml:space="preserve">    C) Ctrl + O</t>
  </si>
  <si>
    <t xml:space="preserve">    D) Ctrl + P</t>
  </si>
  <si>
    <t>Q3. What does the Name Box display?</t>
  </si>
  <si>
    <t xml:space="preserve">    A) The workbook name</t>
  </si>
  <si>
    <t xml:space="preserve">    B) The active cell address</t>
  </si>
  <si>
    <t xml:space="preserve">    C) The formula result</t>
  </si>
  <si>
    <t xml:space="preserve">    D) The sheet name</t>
  </si>
  <si>
    <t>Q4. Cell C5 refers to:</t>
  </si>
  <si>
    <t xml:space="preserve">    A) Row C, Column 5</t>
  </si>
  <si>
    <t xml:space="preserve">    B) Column C, Row 5</t>
  </si>
  <si>
    <t xml:space="preserve">    C) The 5th worksheet</t>
  </si>
  <si>
    <t xml:space="preserve">    D) None of the above</t>
  </si>
  <si>
    <t>Employee ID</t>
  </si>
  <si>
    <t>Employee Name</t>
  </si>
  <si>
    <t>Department</t>
  </si>
  <si>
    <t>Position</t>
  </si>
  <si>
    <t>Salary</t>
  </si>
  <si>
    <t>Date Joined</t>
  </si>
  <si>
    <t>Email</t>
  </si>
  <si>
    <t>Phone</t>
  </si>
  <si>
    <t>Status</t>
  </si>
  <si>
    <t>EMP0001</t>
  </si>
  <si>
    <t>Omar Rahman</t>
  </si>
  <si>
    <t>Finance</t>
  </si>
  <si>
    <t>Finance Manager</t>
  </si>
  <si>
    <t>2017-09-04T16:00:00.000Z</t>
  </si>
  <si>
    <t>omar.rahman@company.com</t>
  </si>
  <si>
    <t>012-7406929</t>
  </si>
  <si>
    <t>Active</t>
  </si>
  <si>
    <t>EMP0002</t>
  </si>
  <si>
    <t>Mohd Hashim</t>
  </si>
  <si>
    <t>Marketing</t>
  </si>
  <si>
    <t>Content Writer</t>
  </si>
  <si>
    <t>2023-10-14T16:00:00.000Z</t>
  </si>
  <si>
    <t>mohd.hashim@company.com</t>
  </si>
  <si>
    <t>013-7184259</t>
  </si>
  <si>
    <t>EMP0003</t>
  </si>
  <si>
    <t>Siti Ahmad</t>
  </si>
  <si>
    <t>HR</t>
  </si>
  <si>
    <t>Training Officer</t>
  </si>
  <si>
    <t>2016-12-14T16:00:00.000Z</t>
  </si>
  <si>
    <t>siti.ahmad@company.com</t>
  </si>
  <si>
    <t>016-3068377</t>
  </si>
  <si>
    <t>EMP0004</t>
  </si>
  <si>
    <t>Siti Abdullah</t>
  </si>
  <si>
    <t>R&amp;D</t>
  </si>
  <si>
    <t>Engineer</t>
  </si>
  <si>
    <t>2021-10-03T16:00:00.000Z</t>
  </si>
  <si>
    <t>siti.abdullah@company.com</t>
  </si>
  <si>
    <t>013-6273533</t>
  </si>
  <si>
    <t>EMP0005</t>
  </si>
  <si>
    <t>Hafizah Yusof</t>
  </si>
  <si>
    <t>IT</t>
  </si>
  <si>
    <t>Database Admin</t>
  </si>
  <si>
    <t>2024-01-26T16:00:00.000Z</t>
  </si>
  <si>
    <t>hafizah.yusof@company.com</t>
  </si>
  <si>
    <t>019-3064964</t>
  </si>
  <si>
    <t>EMP0006</t>
  </si>
  <si>
    <t>Khadijah Abdullah</t>
  </si>
  <si>
    <t>Sales</t>
  </si>
  <si>
    <t>Sales Manager</t>
  </si>
  <si>
    <t>2024-07-18T16:00:00.000Z</t>
  </si>
  <si>
    <t>khadijah.abdullah@company.com</t>
  </si>
  <si>
    <t>019-4966478</t>
  </si>
  <si>
    <t>EMP0007</t>
  </si>
  <si>
    <t>Muhammad Omar</t>
  </si>
  <si>
    <t>2023-08-15T16:00:00.000Z</t>
  </si>
  <si>
    <t>muhammad.omar@company.com</t>
  </si>
  <si>
    <t>012-7480214</t>
  </si>
  <si>
    <t>EMP0008</t>
  </si>
  <si>
    <t>Mohd Hamid</t>
  </si>
  <si>
    <t>Operations</t>
  </si>
  <si>
    <t>Logistics Officer</t>
  </si>
  <si>
    <t>2017-02-02T16:00:00.000Z</t>
  </si>
  <si>
    <t>mohd.hamid@company.com</t>
  </si>
  <si>
    <t>016-7617992</t>
  </si>
  <si>
    <t>EMP0009</t>
  </si>
  <si>
    <t>Rozita Ismail</t>
  </si>
  <si>
    <t>Coordinator</t>
  </si>
  <si>
    <t>2016-12-25T16:00:00.000Z</t>
  </si>
  <si>
    <t>rozita.ismail@company.com</t>
  </si>
  <si>
    <t>015-3342064</t>
  </si>
  <si>
    <t>EMP0010</t>
  </si>
  <si>
    <t>Safiah Salleh</t>
  </si>
  <si>
    <t>IT Support</t>
  </si>
  <si>
    <t>2016-08-13T16:00:00.000Z</t>
  </si>
  <si>
    <t>safiah.salleh@company.com</t>
  </si>
  <si>
    <t>018-1382987</t>
  </si>
  <si>
    <t>EMP0011</t>
  </si>
  <si>
    <t>Yusuf Musa</t>
  </si>
  <si>
    <t>Admin</t>
  </si>
  <si>
    <t>Office Manager</t>
  </si>
  <si>
    <t>2015-03-25T16:00:00.000Z</t>
  </si>
  <si>
    <t>yusuf.musa@company.com</t>
  </si>
  <si>
    <t>018-2972143</t>
  </si>
  <si>
    <t>EMP0012</t>
  </si>
  <si>
    <t>Suraya Razak</t>
  </si>
  <si>
    <t>2023-07-03T16:00:00.000Z</t>
  </si>
  <si>
    <t>suraya.razak@company.com</t>
  </si>
  <si>
    <t>013-4196672</t>
  </si>
  <si>
    <t>EMP0013</t>
  </si>
  <si>
    <t>Azman Abdullah</t>
  </si>
  <si>
    <t>Secretary</t>
  </si>
  <si>
    <t>2023-10-11T16:00:00.000Z</t>
  </si>
  <si>
    <t>azman.abdullah@company.com</t>
  </si>
  <si>
    <t>012-7022546</t>
  </si>
  <si>
    <t>EMP0014</t>
  </si>
  <si>
    <t>Nurul Karim</t>
  </si>
  <si>
    <t>Financial Analyst</t>
  </si>
  <si>
    <t>2019-11-21T16:00:00.000Z</t>
  </si>
  <si>
    <t>nurul.karim@company.com</t>
  </si>
  <si>
    <t>015-8289276</t>
  </si>
  <si>
    <t>EMP0015</t>
  </si>
  <si>
    <t>Nurul Hamid</t>
  </si>
  <si>
    <t>Supervisor</t>
  </si>
  <si>
    <t>2019-01-16T16:00:00.000Z</t>
  </si>
  <si>
    <t>nurul.hamid@company.com</t>
  </si>
  <si>
    <t>018-7716908</t>
  </si>
  <si>
    <t>EMP0016</t>
  </si>
  <si>
    <t>Ahmad Ismail</t>
  </si>
  <si>
    <t>2020-08-23T16:00:00.000Z</t>
  </si>
  <si>
    <t>ahmad.ismail@company.com</t>
  </si>
  <si>
    <t>017-1179639</t>
  </si>
  <si>
    <t>EMP0017</t>
  </si>
  <si>
    <t>Omar Ali</t>
  </si>
  <si>
    <t>Sales Executive</t>
  </si>
  <si>
    <t>2017-04-10T16:00:00.000Z</t>
  </si>
  <si>
    <t>omar.ali@company.com</t>
  </si>
  <si>
    <t>013-4774803</t>
  </si>
  <si>
    <t>Inactive</t>
  </si>
  <si>
    <t>EMP0018</t>
  </si>
  <si>
    <t>Safiah Omar</t>
  </si>
  <si>
    <t>2020-02-22T16:00:00.000Z</t>
  </si>
  <si>
    <t>safiah.omar@company.com</t>
  </si>
  <si>
    <t>014-4184366</t>
  </si>
  <si>
    <t>EMP0019</t>
  </si>
  <si>
    <t>Azman Hamid</t>
  </si>
  <si>
    <t>2021-06-25T16:00:00.000Z</t>
  </si>
  <si>
    <t>azman.hamid@company.com</t>
  </si>
  <si>
    <t>012-6186821</t>
  </si>
  <si>
    <t>EMP0020</t>
  </si>
  <si>
    <t>Azman Ismail</t>
  </si>
  <si>
    <t>2015-10-05T16:00:00.000Z</t>
  </si>
  <si>
    <t>azman.ismail@company.com</t>
  </si>
  <si>
    <t>019-3166839</t>
  </si>
  <si>
    <t>EMP0021</t>
  </si>
  <si>
    <t>Hafizah Ahmad</t>
  </si>
  <si>
    <t>2021-04-07T16:00:00.000Z</t>
  </si>
  <si>
    <t>hafizah.ahmad@company.com</t>
  </si>
  <si>
    <t>016-2862187</t>
  </si>
  <si>
    <t>EMP0022</t>
  </si>
  <si>
    <t>Aishah Abdullah</t>
  </si>
  <si>
    <t>Accounts Clerk</t>
  </si>
  <si>
    <t>2019-06-02T16:00:00.000Z</t>
  </si>
  <si>
    <t>aishah.abdullah@company.com</t>
  </si>
  <si>
    <t>014-1863149</t>
  </si>
  <si>
    <t>EMP0023</t>
  </si>
  <si>
    <t>Muhammad Ibrahim</t>
  </si>
  <si>
    <t>Product Developer</t>
  </si>
  <si>
    <t>2016-12-24T16:00:00.000Z</t>
  </si>
  <si>
    <t>muhammad.ibrahim@company.com</t>
  </si>
  <si>
    <t>014-1352442</t>
  </si>
  <si>
    <t>EMP0024</t>
  </si>
  <si>
    <t>Mohd Razak</t>
  </si>
  <si>
    <t>2024-04-10T16:00:00.000Z</t>
  </si>
  <si>
    <t>mohd.razak@company.com</t>
  </si>
  <si>
    <t>016-5174563</t>
  </si>
  <si>
    <t>EMP0025</t>
  </si>
  <si>
    <t>Nurul Zainal</t>
  </si>
  <si>
    <t>Software Developer</t>
  </si>
  <si>
    <t>2015-08-13T16:00:00.000Z</t>
  </si>
  <si>
    <t>nurul.zainal@company.com</t>
  </si>
  <si>
    <t>012-9908188</t>
  </si>
  <si>
    <t>EMP0026</t>
  </si>
  <si>
    <t>Ahmad Salleh</t>
  </si>
  <si>
    <t>Business Dev</t>
  </si>
  <si>
    <t>2017-04-17T16:00:00.000Z</t>
  </si>
  <si>
    <t>ahmad.salleh@company.com</t>
  </si>
  <si>
    <t>018-9075453</t>
  </si>
  <si>
    <t>EMP0027</t>
  </si>
  <si>
    <t>Yusuf Ahmad</t>
  </si>
  <si>
    <t>2020-01-17T16:00:00.000Z</t>
  </si>
  <si>
    <t>yusuf.ahmad@company.com</t>
  </si>
  <si>
    <t>013-7378822</t>
  </si>
  <si>
    <t>EMP0028</t>
  </si>
  <si>
    <t>Yusuf Razak</t>
  </si>
  <si>
    <t>Operations Manager</t>
  </si>
  <si>
    <t>2016-06-06T16:00:00.000Z</t>
  </si>
  <si>
    <t>yusuf.razak@company.com</t>
  </si>
  <si>
    <t>015-6696685</t>
  </si>
  <si>
    <t>EMP0029</t>
  </si>
  <si>
    <t>Noraini Omar</t>
  </si>
  <si>
    <t>2015-08-16T16:00:00.000Z</t>
  </si>
  <si>
    <t>noraini.omar@company.com</t>
  </si>
  <si>
    <t>015-3188398</t>
  </si>
  <si>
    <t>EMP0030</t>
  </si>
  <si>
    <t>Khadijah Ali</t>
  </si>
  <si>
    <t>2022-01-16T16:00:00.000Z</t>
  </si>
  <si>
    <t>khadijah.ali@company.com</t>
  </si>
  <si>
    <t>015-5625517</t>
  </si>
  <si>
    <t>EMP0031</t>
  </si>
  <si>
    <t>Ibrahim Salleh</t>
  </si>
  <si>
    <t>2017-02-08T16:00:00.000Z</t>
  </si>
  <si>
    <t>ibrahim.salleh@company.com</t>
  </si>
  <si>
    <t>011-5780596</t>
  </si>
  <si>
    <t>EMP0032</t>
  </si>
  <si>
    <t>Zainab Sulaiman</t>
  </si>
  <si>
    <t>Digital Marketer</t>
  </si>
  <si>
    <t>2021-02-21T16:00:00.000Z</t>
  </si>
  <si>
    <t>zainab.sulaiman@company.com</t>
  </si>
  <si>
    <t>018-8615326</t>
  </si>
  <si>
    <t>EMP0033</t>
  </si>
  <si>
    <t>Brand Manager</t>
  </si>
  <si>
    <t>2022-05-06T16:00:00.000Z</t>
  </si>
  <si>
    <t>015-4545133</t>
  </si>
  <si>
    <t>EMP0034</t>
  </si>
  <si>
    <t>Fatimah Karim</t>
  </si>
  <si>
    <t>Account Manager</t>
  </si>
  <si>
    <t>2015-01-17T16:00:00.000Z</t>
  </si>
  <si>
    <t>fatimah.karim@company.com</t>
  </si>
  <si>
    <t>018-8034696</t>
  </si>
  <si>
    <t>EMP0035</t>
  </si>
  <si>
    <t>Azman Ali</t>
  </si>
  <si>
    <t>2020-02-26T16:00:00.000Z</t>
  </si>
  <si>
    <t>azman.ali@company.com</t>
  </si>
  <si>
    <t>011-8845038</t>
  </si>
  <si>
    <t>EMP0036</t>
  </si>
  <si>
    <t>Salina Yusof</t>
  </si>
  <si>
    <t>2022-10-07T16:00:00.000Z</t>
  </si>
  <si>
    <t>salina.yusof@company.com</t>
  </si>
  <si>
    <t>016-7220513</t>
  </si>
  <si>
    <t>EMP0037</t>
  </si>
  <si>
    <t>Ali Salleh</t>
  </si>
  <si>
    <t>2023-11-09T16:00:00.000Z</t>
  </si>
  <si>
    <t>ali.salleh@company.com</t>
  </si>
  <si>
    <t>015-5139111</t>
  </si>
  <si>
    <t>EMP0038</t>
  </si>
  <si>
    <t>Yusuf Hassan</t>
  </si>
  <si>
    <t>2018-06-18T16:00:00.000Z</t>
  </si>
  <si>
    <t>yusuf.hassan@company.com</t>
  </si>
  <si>
    <t>014-3795821</t>
  </si>
  <si>
    <t>EMP0039</t>
  </si>
  <si>
    <t>Kamal Musa</t>
  </si>
  <si>
    <t>Recruiter</t>
  </si>
  <si>
    <t>2022-07-24T16:00:00.000Z</t>
  </si>
  <si>
    <t>kamal.musa@company.com</t>
  </si>
  <si>
    <t>014-9694138</t>
  </si>
  <si>
    <t>EMP0040</t>
  </si>
  <si>
    <t>Hafizah Omar</t>
  </si>
  <si>
    <t>2018-12-06T16:00:00.000Z</t>
  </si>
  <si>
    <t>hafizah.omar@company.com</t>
  </si>
  <si>
    <t>019-2981823</t>
  </si>
  <si>
    <t>EMP0041</t>
  </si>
  <si>
    <t>Yusuf Omar</t>
  </si>
  <si>
    <t>2016-11-10T16:00:00.000Z</t>
  </si>
  <si>
    <t>yusuf.omar@company.com</t>
  </si>
  <si>
    <t>011-4581727</t>
  </si>
  <si>
    <t>EMP0042</t>
  </si>
  <si>
    <t>Yusuf Ali</t>
  </si>
  <si>
    <t>Accountant</t>
  </si>
  <si>
    <t>2022-05-21T16:00:00.000Z</t>
  </si>
  <si>
    <t>yusuf.ali@company.com</t>
  </si>
  <si>
    <t>015-6721106</t>
  </si>
  <si>
    <t>EMP0043</t>
  </si>
  <si>
    <t>Aishah Rahman</t>
  </si>
  <si>
    <t>2017-08-02T16:00:00.000Z</t>
  </si>
  <si>
    <t>aishah.rahman@company.com</t>
  </si>
  <si>
    <t>015-8435283</t>
  </si>
  <si>
    <t>EMP0044</t>
  </si>
  <si>
    <t>Siti Omar</t>
  </si>
  <si>
    <t>2019-10-01T16:00:00.000Z</t>
  </si>
  <si>
    <t>siti.omar@company.com</t>
  </si>
  <si>
    <t>016-5245612</t>
  </si>
  <si>
    <t>EMP0045</t>
  </si>
  <si>
    <t>Ramlah Hashim</t>
  </si>
  <si>
    <t>HR Executive</t>
  </si>
  <si>
    <t>2016-07-12T16:00:00.000Z</t>
  </si>
  <si>
    <t>ramlah.hashim@company.com</t>
  </si>
  <si>
    <t>017-3787038</t>
  </si>
  <si>
    <t>EMP0046</t>
  </si>
  <si>
    <t>Omar Yusof</t>
  </si>
  <si>
    <t>2019-11-10T16:00:00.000Z</t>
  </si>
  <si>
    <t>omar.yusof@company.com</t>
  </si>
  <si>
    <t>018-3143528</t>
  </si>
  <si>
    <t>EMP0047</t>
  </si>
  <si>
    <t>Salina Hashim</t>
  </si>
  <si>
    <t>2020-10-16T16:00:00.000Z</t>
  </si>
  <si>
    <t>salina.hashim@company.com</t>
  </si>
  <si>
    <t>012-5082918</t>
  </si>
  <si>
    <t>EMP0048</t>
  </si>
  <si>
    <t>Farid Razak</t>
  </si>
  <si>
    <t>Marketing Executive</t>
  </si>
  <si>
    <t>2024-08-17T16:00:00.000Z</t>
  </si>
  <si>
    <t>farid.razak@company.com</t>
  </si>
  <si>
    <t>018-3470537</t>
  </si>
  <si>
    <t>EMP0049</t>
  </si>
  <si>
    <t>Hassan Musa</t>
  </si>
  <si>
    <t>System Analyst</t>
  </si>
  <si>
    <t>2024-11-21T16:00:00.000Z</t>
  </si>
  <si>
    <t>hassan.musa@company.com</t>
  </si>
  <si>
    <t>016-3097754</t>
  </si>
  <si>
    <t>EMP0050</t>
  </si>
  <si>
    <t>Yusuf Zainal</t>
  </si>
  <si>
    <t>2023-08-20T16:00:00.000Z</t>
  </si>
  <si>
    <t>yusuf.zainal@company.com</t>
  </si>
  <si>
    <t>011-3351131</t>
  </si>
  <si>
    <t>EMP0051</t>
  </si>
  <si>
    <t>Aminah Ibrahim</t>
  </si>
  <si>
    <t>2022-11-17T16:00:00.000Z</t>
  </si>
  <si>
    <t>aminah.ibrahim@company.com</t>
  </si>
  <si>
    <t>013-2419270</t>
  </si>
  <si>
    <t>EMP0052</t>
  </si>
  <si>
    <t>Suraya Rahman</t>
  </si>
  <si>
    <t>2022-03-10T16:00:00.000Z</t>
  </si>
  <si>
    <t>suraya.rahman@company.com</t>
  </si>
  <si>
    <t>015-2087203</t>
  </si>
  <si>
    <t>EMP0053</t>
  </si>
  <si>
    <t>Fatimah Hamid</t>
  </si>
  <si>
    <t>2018-10-14T16:00:00.000Z</t>
  </si>
  <si>
    <t>fatimah.hamid@company.com</t>
  </si>
  <si>
    <t>014-2755240</t>
  </si>
  <si>
    <t>EMP0054</t>
  </si>
  <si>
    <t>Siti Wahab</t>
  </si>
  <si>
    <t>2020-01-08T16:00:00.000Z</t>
  </si>
  <si>
    <t>siti.wahab@company.com</t>
  </si>
  <si>
    <t>014-7920401</t>
  </si>
  <si>
    <t>EMP0055</t>
  </si>
  <si>
    <t>Suraya Bakar</t>
  </si>
  <si>
    <t>HR Manager</t>
  </si>
  <si>
    <t>2019-11-01T16:00:00.000Z</t>
  </si>
  <si>
    <t>suraya.bakar@company.com</t>
  </si>
  <si>
    <t>018-8498485</t>
  </si>
  <si>
    <t>EMP0056</t>
  </si>
  <si>
    <t>2015-06-30T16:00:00.000Z</t>
  </si>
  <si>
    <t>013-4559533</t>
  </si>
  <si>
    <t>EMP0057</t>
  </si>
  <si>
    <t>Omar Omar</t>
  </si>
  <si>
    <t>2023-08-26T16:00:00.000Z</t>
  </si>
  <si>
    <t>omar.omar@company.com</t>
  </si>
  <si>
    <t>013-9968173</t>
  </si>
  <si>
    <t>EMP0058</t>
  </si>
  <si>
    <t>Fatimah Ibrahim</t>
  </si>
  <si>
    <t>2021-07-16T16:00:00.000Z</t>
  </si>
  <si>
    <t>fatimah.ibrahim@company.com</t>
  </si>
  <si>
    <t>016-4257070</t>
  </si>
  <si>
    <t>EMP0059</t>
  </si>
  <si>
    <t>Hafizah Sulaiman</t>
  </si>
  <si>
    <t>2020-06-15T16:00:00.000Z</t>
  </si>
  <si>
    <t>hafizah.sulaiman@company.com</t>
  </si>
  <si>
    <t>016-7654275</t>
  </si>
  <si>
    <t>EMP0060</t>
  </si>
  <si>
    <t>Hamid Hashim</t>
  </si>
  <si>
    <t>2023-09-11T16:00:00.000Z</t>
  </si>
  <si>
    <t>hamid.hashim@company.com</t>
  </si>
  <si>
    <t>017-3990609</t>
  </si>
  <si>
    <t>EMP0061</t>
  </si>
  <si>
    <t>2016-05-11T16:00:00.000Z</t>
  </si>
  <si>
    <t>018-4499368</t>
  </si>
  <si>
    <t>EMP0062</t>
  </si>
  <si>
    <t>Yusuf Salleh</t>
  </si>
  <si>
    <t>2016-02-29T16:00:00.000Z</t>
  </si>
  <si>
    <t>yusuf.salleh@company.com</t>
  </si>
  <si>
    <t>011-5336743</t>
  </si>
  <si>
    <t>EMP0063</t>
  </si>
  <si>
    <t>Ismail Ali</t>
  </si>
  <si>
    <t>2023-09-05T16:00:00.000Z</t>
  </si>
  <si>
    <t>ismail.ali@company.com</t>
  </si>
  <si>
    <t>019-7327632</t>
  </si>
  <si>
    <t>EMP0064</t>
  </si>
  <si>
    <t>Aminah Rahman</t>
  </si>
  <si>
    <t>2015-08-11T16:00:00.000Z</t>
  </si>
  <si>
    <t>aminah.rahman@company.com</t>
  </si>
  <si>
    <t>014-1015256</t>
  </si>
  <si>
    <t>EMP0065</t>
  </si>
  <si>
    <t>Rashid Ali</t>
  </si>
  <si>
    <t>2023-06-07T16:00:00.000Z</t>
  </si>
  <si>
    <t>rashid.ali@company.com</t>
  </si>
  <si>
    <t>016-2390140</t>
  </si>
  <si>
    <t>EMP0066</t>
  </si>
  <si>
    <t>Rozita Wahab</t>
  </si>
  <si>
    <t>2024-02-01T16:00:00.000Z</t>
  </si>
  <si>
    <t>rozita.wahab@company.com</t>
  </si>
  <si>
    <t>016-7778517</t>
  </si>
  <si>
    <t>EMP0067</t>
  </si>
  <si>
    <t>Rozita Abdullah</t>
  </si>
  <si>
    <t>2022-05-13T16:00:00.000Z</t>
  </si>
  <si>
    <t>rozita.abdullah@company.com</t>
  </si>
  <si>
    <t>018-8721140</t>
  </si>
  <si>
    <t>EMP0068</t>
  </si>
  <si>
    <t>Nurul Musa</t>
  </si>
  <si>
    <t>2018-01-15T16:00:00.000Z</t>
  </si>
  <si>
    <t>nurul.musa@company.com</t>
  </si>
  <si>
    <t>012-2042473</t>
  </si>
  <si>
    <t>EMP0069</t>
  </si>
  <si>
    <t>Ramlah Bakar</t>
  </si>
  <si>
    <t>2022-05-23T16:00:00.000Z</t>
  </si>
  <si>
    <t>ramlah.bakar@company.com</t>
  </si>
  <si>
    <t>017-2872515</t>
  </si>
  <si>
    <t>EMP0070</t>
  </si>
  <si>
    <t>Kamal Wahab</t>
  </si>
  <si>
    <t>2021-12-12T16:00:00.000Z</t>
  </si>
  <si>
    <t>kamal.wahab@company.com</t>
  </si>
  <si>
    <t>011-9493021</t>
  </si>
  <si>
    <t>EMP0071</t>
  </si>
  <si>
    <t>Omar Bakar</t>
  </si>
  <si>
    <t>Lab Technician</t>
  </si>
  <si>
    <t>2017-05-21T16:00:00.000Z</t>
  </si>
  <si>
    <t>omar.bakar@company.com</t>
  </si>
  <si>
    <t>013-3396248</t>
  </si>
  <si>
    <t>EMP0072</t>
  </si>
  <si>
    <t>Suraya Hashim</t>
  </si>
  <si>
    <t>2015-05-21T16:00:00.000Z</t>
  </si>
  <si>
    <t>suraya.hashim@company.com</t>
  </si>
  <si>
    <t>016-6862172</t>
  </si>
  <si>
    <t>EMP0073</t>
  </si>
  <si>
    <t>Khalid Sulaiman</t>
  </si>
  <si>
    <t>2017-05-11T16:00:00.000Z</t>
  </si>
  <si>
    <t>khalid.sulaiman@company.com</t>
  </si>
  <si>
    <t>018-5708060</t>
  </si>
  <si>
    <t>EMP0074</t>
  </si>
  <si>
    <t>Ahmad Sulaiman</t>
  </si>
  <si>
    <t>2024-08-27T16:00:00.000Z</t>
  </si>
  <si>
    <t>ahmad.sulaiman@company.com</t>
  </si>
  <si>
    <t>018-6902222</t>
  </si>
  <si>
    <t>EMP0075</t>
  </si>
  <si>
    <t>Ibrahim Ibrahim</t>
  </si>
  <si>
    <t>2023-02-04T16:00:00.000Z</t>
  </si>
  <si>
    <t>ibrahim.ibrahim@company.com</t>
  </si>
  <si>
    <t>019-9252798</t>
  </si>
  <si>
    <t>EMP0076</t>
  </si>
  <si>
    <t>Mohd Yusof</t>
  </si>
  <si>
    <t>2023-09-08T16:00:00.000Z</t>
  </si>
  <si>
    <t>mohd.yusof@company.com</t>
  </si>
  <si>
    <t>016-4686272</t>
  </si>
  <si>
    <t>EMP0077</t>
  </si>
  <si>
    <t>Hamid Ali</t>
  </si>
  <si>
    <t>2018-08-07T16:00:00.000Z</t>
  </si>
  <si>
    <t>hamid.ali@company.com</t>
  </si>
  <si>
    <t>016-1787869</t>
  </si>
  <si>
    <t>EMP0078</t>
  </si>
  <si>
    <t>Kamal Ali</t>
  </si>
  <si>
    <t>2018-02-27T16:00:00.000Z</t>
  </si>
  <si>
    <t>kamal.ali@company.com</t>
  </si>
  <si>
    <t>012-9698559</t>
  </si>
  <si>
    <t>EMP0079</t>
  </si>
  <si>
    <t>Hassan Zainal</t>
  </si>
  <si>
    <t>2020-12-15T16:00:00.000Z</t>
  </si>
  <si>
    <t>hassan.zainal@company.com</t>
  </si>
  <si>
    <t>016-7768684</t>
  </si>
  <si>
    <t>EMP0080</t>
  </si>
  <si>
    <t>Suraya Ahmad</t>
  </si>
  <si>
    <t>2018-09-04T16:00:00.000Z</t>
  </si>
  <si>
    <t>suraya.ahmad@company.com</t>
  </si>
  <si>
    <t>015-8302236</t>
  </si>
  <si>
    <t>EMP0081</t>
  </si>
  <si>
    <t>Rozita Ibrahim</t>
  </si>
  <si>
    <t>2018-12-21T16:00:00.000Z</t>
  </si>
  <si>
    <t>rozita.ibrahim@company.com</t>
  </si>
  <si>
    <t>012-7461414</t>
  </si>
  <si>
    <t>EMP0082</t>
  </si>
  <si>
    <t>Khalid Wahab</t>
  </si>
  <si>
    <t>2024-04-04T16:00:00.000Z</t>
  </si>
  <si>
    <t>khalid.wahab@company.com</t>
  </si>
  <si>
    <t>015-2925309</t>
  </si>
  <si>
    <t>EMP0083</t>
  </si>
  <si>
    <t>Suraya Yusof</t>
  </si>
  <si>
    <t>2022-05-11T16:00:00.000Z</t>
  </si>
  <si>
    <t>suraya.yusof@company.com</t>
  </si>
  <si>
    <t>012-3294567</t>
  </si>
  <si>
    <t>EMP0084</t>
  </si>
  <si>
    <t>Ibrahim Hamid</t>
  </si>
  <si>
    <t>Research Analyst</t>
  </si>
  <si>
    <t>2015-09-10T16:00:00.000Z</t>
  </si>
  <si>
    <t>ibrahim.hamid@company.com</t>
  </si>
  <si>
    <t>014-9883362</t>
  </si>
  <si>
    <t>EMP0085</t>
  </si>
  <si>
    <t>Fatimah Ahmad</t>
  </si>
  <si>
    <t>2015-03-21T16:00:00.000Z</t>
  </si>
  <si>
    <t>fatimah.ahmad@company.com</t>
  </si>
  <si>
    <t>016-3063568</t>
  </si>
  <si>
    <t>EMP0086</t>
  </si>
  <si>
    <t>2019-08-27T16:00:00.000Z</t>
  </si>
  <si>
    <t>018-8441865</t>
  </si>
  <si>
    <t>EMP0087</t>
  </si>
  <si>
    <t>Farid Salleh</t>
  </si>
  <si>
    <t>2017-10-16T16:00:00.000Z</t>
  </si>
  <si>
    <t>farid.salleh@company.com</t>
  </si>
  <si>
    <t>014-1347446</t>
  </si>
  <si>
    <t>EMP0088</t>
  </si>
  <si>
    <t>Khadijah Hassan</t>
  </si>
  <si>
    <t>2023-06-21T16:00:00.000Z</t>
  </si>
  <si>
    <t>khadijah.hassan@company.com</t>
  </si>
  <si>
    <t>011-6899040</t>
  </si>
  <si>
    <t>EMP0089</t>
  </si>
  <si>
    <t>Ismail Hassan</t>
  </si>
  <si>
    <t>ismail.hassan@company.com</t>
  </si>
  <si>
    <t>012-3572755</t>
  </si>
  <si>
    <t>EMP0090</t>
  </si>
  <si>
    <t>Fatimah Ali</t>
  </si>
  <si>
    <t>2018-07-05T16:00:00.000Z</t>
  </si>
  <si>
    <t>fatimah.ali@company.com</t>
  </si>
  <si>
    <t>014-6785250</t>
  </si>
  <si>
    <t>EMP0091</t>
  </si>
  <si>
    <t>Muhammad Hassan</t>
  </si>
  <si>
    <t>2017-05-14T16:00:00.000Z</t>
  </si>
  <si>
    <t>muhammad.hassan@company.com</t>
  </si>
  <si>
    <t>013-6927918</t>
  </si>
  <si>
    <t>EMP0092</t>
  </si>
  <si>
    <t>Zainab Hassan</t>
  </si>
  <si>
    <t>2024-09-27T16:00:00.000Z</t>
  </si>
  <si>
    <t>zainab.hassan@company.com</t>
  </si>
  <si>
    <t>015-1032496</t>
  </si>
  <si>
    <t>EMP0093</t>
  </si>
  <si>
    <t>Azman Razak</t>
  </si>
  <si>
    <t>2017-10-02T16:00:00.000Z</t>
  </si>
  <si>
    <t>azman.razak@company.com</t>
  </si>
  <si>
    <t>011-8628386</t>
  </si>
  <si>
    <t>EMP0094</t>
  </si>
  <si>
    <t>Salina Osman</t>
  </si>
  <si>
    <t>2019-09-13T16:00:00.000Z</t>
  </si>
  <si>
    <t>salina.osman@company.com</t>
  </si>
  <si>
    <t>015-8569806</t>
  </si>
  <si>
    <t>EMP0095</t>
  </si>
  <si>
    <t>Ibrahim Yusof</t>
  </si>
  <si>
    <t>2024-06-15T16:00:00.000Z</t>
  </si>
  <si>
    <t>ibrahim.yusof@company.com</t>
  </si>
  <si>
    <t>012-9322043</t>
  </si>
  <si>
    <t>EMP0096</t>
  </si>
  <si>
    <t>2022-08-23T16:00:00.000Z</t>
  </si>
  <si>
    <t>014-1270534</t>
  </si>
  <si>
    <t>EMP0097</t>
  </si>
  <si>
    <t>Ismail Abdullah</t>
  </si>
  <si>
    <t>2017-02-09T16:00:00.000Z</t>
  </si>
  <si>
    <t>ismail.abdullah@company.com</t>
  </si>
  <si>
    <t>016-9013516</t>
  </si>
  <si>
    <t>EMP0098</t>
  </si>
  <si>
    <t>Aishah Musa</t>
  </si>
  <si>
    <t>2016-10-24T16:00:00.000Z</t>
  </si>
  <si>
    <t>aishah.musa@company.com</t>
  </si>
  <si>
    <t>011-6388202</t>
  </si>
  <si>
    <t>EMP0099</t>
  </si>
  <si>
    <t>Hafizah Karim</t>
  </si>
  <si>
    <t>2023-01-07T16:00:00.000Z</t>
  </si>
  <si>
    <t>hafizah.karim@company.com</t>
  </si>
  <si>
    <t>018-6156620</t>
  </si>
  <si>
    <t>EMP0100</t>
  </si>
  <si>
    <t>Khalid Hamid</t>
  </si>
  <si>
    <t>2022-02-04T16:00:00.000Z</t>
  </si>
  <si>
    <t>khalid.hamid@company.com</t>
  </si>
  <si>
    <t>011-6174786</t>
  </si>
  <si>
    <t>MODULE 3: FORMATTING AND ORGANIZING DATA</t>
  </si>
  <si>
    <t>Day 1 | Duration: 90 minutes</t>
  </si>
  <si>
    <t>• Apply cell formatting (fonts, colors, borders)</t>
  </si>
  <si>
    <t>• Use number formatting for currency, percentages, dates</t>
  </si>
  <si>
    <t>• Apply conditional formatting rules</t>
  </si>
  <si>
    <t>• Organize data professionally</t>
  </si>
  <si>
    <t>CELL FORMATTING OPTIONS</t>
  </si>
  <si>
    <t>Font Formatting:</t>
  </si>
  <si>
    <t>• Bold (Ctrl + B), Italic (Ctrl + I), Underline (Ctrl + U)</t>
  </si>
  <si>
    <t>• Font size, color, and type</t>
  </si>
  <si>
    <t>Alignment:</t>
  </si>
  <si>
    <t>• Horizontal: Left, Center, Right</t>
  </si>
  <si>
    <t>• Vertical: Top, Middle, Bottom</t>
  </si>
  <si>
    <t>• Wrap Text - for long text in cells</t>
  </si>
  <si>
    <t>• Merge &amp; Center - combine cells</t>
  </si>
  <si>
    <t>NUMBER FORMATTING</t>
  </si>
  <si>
    <t>General: 1234.5</t>
  </si>
  <si>
    <t>Number: 1,234.50</t>
  </si>
  <si>
    <t>Currency (Ctrl+Shift+$): $1,234.50</t>
  </si>
  <si>
    <t>Percentage (Ctrl+Shift+%): 12.35%</t>
  </si>
  <si>
    <t>Date: 25-May-2024</t>
  </si>
  <si>
    <t>BORDERS</t>
  </si>
  <si>
    <t>• Select cells → Home → Borders dropdown</t>
  </si>
  <si>
    <t>• Options: All borders, Outside borders, Thick box, etc.</t>
  </si>
  <si>
    <t>CONDITIONAL FORMATTING</t>
  </si>
  <si>
    <t>Highlight cells based on rules: Home → Conditional Formatting</t>
  </si>
  <si>
    <t>1. Highlight Cells Rules → Greater Than, Less Than</t>
  </si>
  <si>
    <t>2. Top/Bottom Rules → Top 10, Above Average</t>
  </si>
  <si>
    <t>3. Data Bars → Visual bars showing relative values</t>
  </si>
  <si>
    <t>4. Color Scales → Gradient colors (green-yellow-red)</t>
  </si>
  <si>
    <t>5. Icon Sets → Arrows, flags, ratings</t>
  </si>
  <si>
    <t>EXERCISE: FORMAT THIS MESSY DATA</t>
  </si>
  <si>
    <t>Transform the data below into a professional format</t>
  </si>
  <si>
    <t>employee id</t>
  </si>
  <si>
    <t>NAME</t>
  </si>
  <si>
    <t>dept</t>
  </si>
  <si>
    <t>salary</t>
  </si>
  <si>
    <t>start date</t>
  </si>
  <si>
    <t>status</t>
  </si>
  <si>
    <t>emp001</t>
  </si>
  <si>
    <t>ahmad abdullah</t>
  </si>
  <si>
    <t>FINANCE</t>
  </si>
  <si>
    <t>15/3/2020</t>
  </si>
  <si>
    <t>ACTIVE</t>
  </si>
  <si>
    <t>emp002</t>
  </si>
  <si>
    <t>SITI RAHMAN</t>
  </si>
  <si>
    <t>hr</t>
  </si>
  <si>
    <t>active</t>
  </si>
  <si>
    <t>EMP003</t>
  </si>
  <si>
    <t>mohd hassan</t>
  </si>
  <si>
    <t>It</t>
  </si>
  <si>
    <t>emp004</t>
  </si>
  <si>
    <t>nurul amin</t>
  </si>
  <si>
    <t>MARKETING</t>
  </si>
  <si>
    <t>EMP005</t>
  </si>
  <si>
    <t>ali omar</t>
  </si>
  <si>
    <t>sales</t>
  </si>
  <si>
    <t>inactive</t>
  </si>
  <si>
    <t>emp006</t>
  </si>
  <si>
    <t>FATIMAH KARIM</t>
  </si>
  <si>
    <t>emp007</t>
  </si>
  <si>
    <t>hassan ibrahim</t>
  </si>
  <si>
    <t>ADMIN</t>
  </si>
  <si>
    <t>15-09-2023</t>
  </si>
  <si>
    <t>EMP008</t>
  </si>
  <si>
    <t>zainab yusof</t>
  </si>
  <si>
    <t>R&amp;d</t>
  </si>
  <si>
    <t>FORMATTING REQUIREMENTS:</t>
  </si>
  <si>
    <t>1. Headers: Bold, white text, blue background (#2E75B6)</t>
  </si>
  <si>
    <t>2. Employee ID: Uppercase format (EMP001)</t>
  </si>
  <si>
    <t>3. Name: Proper case (Ahmad Abdullah)</t>
  </si>
  <si>
    <t>4. Department: Proper case (Finance)</t>
  </si>
  <si>
    <t>5. Salary: Currency format with RM symbol</t>
  </si>
  <si>
    <t>6. Date: Consistent format (dd-mmm-yyyy)</t>
  </si>
  <si>
    <t>7. Status: Proper case (Active/Inactive)</t>
  </si>
  <si>
    <t>8. Add borders to all cells</t>
  </si>
  <si>
    <t>9. Conditional Format: Salary &gt; 5000 = Green background</t>
  </si>
  <si>
    <t>10. Conditional Format: Status 'Inactive' = Red text</t>
  </si>
  <si>
    <t>PRACTICE DATA - MONTHLY SALES</t>
  </si>
  <si>
    <t>Month</t>
  </si>
  <si>
    <t>Sales (RM)</t>
  </si>
  <si>
    <t>Expenses (RM)</t>
  </si>
  <si>
    <t>January</t>
  </si>
  <si>
    <t>February</t>
  </si>
  <si>
    <t>March</t>
  </si>
  <si>
    <t>April</t>
  </si>
  <si>
    <t>May</t>
  </si>
  <si>
    <t>June</t>
  </si>
  <si>
    <t>July</t>
  </si>
  <si>
    <t>August</t>
  </si>
  <si>
    <t>September</t>
  </si>
  <si>
    <t>October</t>
  </si>
  <si>
    <t>November</t>
  </si>
  <si>
    <t>December</t>
  </si>
  <si>
    <t>EXERCISES - Complete the formulas below:</t>
  </si>
  <si>
    <t>Task</t>
  </si>
  <si>
    <t>Formula Cell</t>
  </si>
  <si>
    <t>Your Answer</t>
  </si>
  <si>
    <t>1. Total Sales</t>
  </si>
  <si>
    <t>H4</t>
  </si>
  <si>
    <t>2. Total Expenses</t>
  </si>
  <si>
    <t>H5</t>
  </si>
  <si>
    <t>3. Average Sales</t>
  </si>
  <si>
    <t>H6</t>
  </si>
  <si>
    <t>4. Highest Sales Month</t>
  </si>
  <si>
    <t>H7</t>
  </si>
  <si>
    <t>5. Lowest Sales Month</t>
  </si>
  <si>
    <t>H8</t>
  </si>
  <si>
    <t>6. Count of Months</t>
  </si>
  <si>
    <t>H9</t>
  </si>
  <si>
    <t>7. Total Profit</t>
  </si>
  <si>
    <t>H10</t>
  </si>
  <si>
    <t>8. Average Profit Margin</t>
  </si>
  <si>
    <t>H11</t>
  </si>
  <si>
    <t>9. Today's Date</t>
  </si>
  <si>
    <t>H12</t>
  </si>
  <si>
    <t>Results</t>
  </si>
  <si>
    <t>EMPLOYEE KPI SCENARIO</t>
  </si>
  <si>
    <t>Use IF and conditional functions to analyze employee performance</t>
  </si>
  <si>
    <t>Name</t>
  </si>
  <si>
    <t>Sales Target</t>
  </si>
  <si>
    <t>Actual Sales</t>
  </si>
  <si>
    <t>KPI Score</t>
  </si>
  <si>
    <t>EMP001</t>
  </si>
  <si>
    <t>Ahmad Abdullah</t>
  </si>
  <si>
    <t>EMP002</t>
  </si>
  <si>
    <t>Siti Rahman</t>
  </si>
  <si>
    <t>Mohd Hassan</t>
  </si>
  <si>
    <t>EMP004</t>
  </si>
  <si>
    <t>Nurul Amin</t>
  </si>
  <si>
    <t>Ali Omar</t>
  </si>
  <si>
    <t>EMP006</t>
  </si>
  <si>
    <t>EMP007</t>
  </si>
  <si>
    <t>Hassan Ibrahim</t>
  </si>
  <si>
    <t>Zainab Yusof</t>
  </si>
  <si>
    <t>EMP009</t>
  </si>
  <si>
    <t>Ismail Ahmad</t>
  </si>
  <si>
    <t>EMP010</t>
  </si>
  <si>
    <t>Mariam Razak</t>
  </si>
  <si>
    <t>EMP011</t>
  </si>
  <si>
    <t>Yusuf Hamid</t>
  </si>
  <si>
    <t>EMP012</t>
  </si>
  <si>
    <t>Aminah Zainal</t>
  </si>
  <si>
    <t>EMP013</t>
  </si>
  <si>
    <t>EMP014</t>
  </si>
  <si>
    <t>Khadijah Musa</t>
  </si>
  <si>
    <t>EMP015</t>
  </si>
  <si>
    <t>Ibrahim Wahab</t>
  </si>
  <si>
    <t>EXERCISES:</t>
  </si>
  <si>
    <t>Formula</t>
  </si>
  <si>
    <t>Expected Result</t>
  </si>
  <si>
    <t>1. Performance Rating (&gt;=100='Achieved', &lt;100='Not Achieved')</t>
  </si>
  <si>
    <t>K</t>
  </si>
  <si>
    <t>Achieved/Not Achieved</t>
  </si>
  <si>
    <t>2. Bonus Eligibility (KPI&gt;=110='Yes', else 'No')</t>
  </si>
  <si>
    <t>L</t>
  </si>
  <si>
    <t>Yes/No</t>
  </si>
  <si>
    <t>3. Count Sales department employees</t>
  </si>
  <si>
    <t>N5</t>
  </si>
  <si>
    <t>4. Count employees who achieved KPI</t>
  </si>
  <si>
    <t>N6</t>
  </si>
  <si>
    <t>Count number</t>
  </si>
  <si>
    <t>5. Total actual sales for Sales dept</t>
  </si>
  <si>
    <t>N7</t>
  </si>
  <si>
    <t>Sum value</t>
  </si>
  <si>
    <t>6. Average KPI for Marketing dept</t>
  </si>
  <si>
    <t>N8</t>
  </si>
  <si>
    <t>Average</t>
  </si>
  <si>
    <t>7. Extract first 3 chars of Employee ID</t>
  </si>
  <si>
    <t>M</t>
  </si>
  <si>
    <t>EMP</t>
  </si>
  <si>
    <t>8. Create full report text</t>
  </si>
  <si>
    <t>O</t>
  </si>
  <si>
    <t>Name scored X%</t>
  </si>
  <si>
    <t>9. Grade (&gt;=110='A', &gt;=100='B', &gt;=90='C', &lt;90='D')</t>
  </si>
  <si>
    <t>P</t>
  </si>
  <si>
    <t>A/B/C/D</t>
  </si>
  <si>
    <t>10. Safe division with IFERROR</t>
  </si>
  <si>
    <t>Q</t>
  </si>
  <si>
    <t>Ratio</t>
  </si>
  <si>
    <t>EMPLOYEE INFORMATION LOOKUP SYSTEM</t>
  </si>
  <si>
    <t>EMPLOYEE DATABASE (Reference Table)</t>
  </si>
  <si>
    <t>Manager</t>
  </si>
  <si>
    <t>Executive</t>
  </si>
  <si>
    <t>Developer</t>
  </si>
  <si>
    <t>Analyst</t>
  </si>
  <si>
    <t>Support</t>
  </si>
  <si>
    <t>LOOKUP INTERFACE</t>
  </si>
  <si>
    <t>Enter Employee ID:</t>
  </si>
  <si>
    <t>Information</t>
  </si>
  <si>
    <t>VLOOKUP Formula</t>
  </si>
  <si>
    <t>XLOOKUP Formula</t>
  </si>
  <si>
    <t>Result (XLOOKUP)</t>
  </si>
  <si>
    <t>EXERCISE: Build Your Own Lookup System</t>
  </si>
  <si>
    <t>1. Copy the Employee Database to a new location</t>
  </si>
  <si>
    <t>2. Create a lookup cell where user enters Employee ID</t>
  </si>
  <si>
    <t>3. Use VLOOKUP to retrieve the employee's name</t>
  </si>
  <si>
    <t>4. Use VLOOKUP to retrieve the department</t>
  </si>
  <si>
    <t>5. Use XLOOKUP to retrieve the salary</t>
  </si>
  <si>
    <t>6. Add IFERROR to handle cases where ID is not found</t>
  </si>
  <si>
    <t>CUSTOMER SALES DATASET</t>
  </si>
  <si>
    <t>Convert this data to an Excel Table and complete the exercises</t>
  </si>
  <si>
    <t>Order ID</t>
  </si>
  <si>
    <t>Customer</t>
  </si>
  <si>
    <t>Product</t>
  </si>
  <si>
    <t>Quantity</t>
  </si>
  <si>
    <t>Amount</t>
  </si>
  <si>
    <t>ORD001</t>
  </si>
  <si>
    <t>ABC Corp</t>
  </si>
  <si>
    <t>Laptop</t>
  </si>
  <si>
    <t>ORD002</t>
  </si>
  <si>
    <t>XYZ Ltd</t>
  </si>
  <si>
    <t>Monitor</t>
  </si>
  <si>
    <t>ORD003</t>
  </si>
  <si>
    <t>Keyboard</t>
  </si>
  <si>
    <t>ORD004</t>
  </si>
  <si>
    <t>Tech Solutions</t>
  </si>
  <si>
    <t>Mouse</t>
  </si>
  <si>
    <t>ORD005</t>
  </si>
  <si>
    <t>Global Inc</t>
  </si>
  <si>
    <t>ORD006</t>
  </si>
  <si>
    <t>Printer</t>
  </si>
  <si>
    <t>ORD007</t>
  </si>
  <si>
    <t>ORD008</t>
  </si>
  <si>
    <t>ORD009</t>
  </si>
  <si>
    <t>Smart Systems</t>
  </si>
  <si>
    <t>ORD010</t>
  </si>
  <si>
    <t>ORD011</t>
  </si>
  <si>
    <t>ORD012</t>
  </si>
  <si>
    <t>ORD013</t>
  </si>
  <si>
    <t>ORD014</t>
  </si>
  <si>
    <t>ORD015</t>
  </si>
  <si>
    <t>ORD016</t>
  </si>
  <si>
    <t>ORD017</t>
  </si>
  <si>
    <t>ORD018</t>
  </si>
  <si>
    <t>ORD019</t>
  </si>
  <si>
    <t>ORD020</t>
  </si>
  <si>
    <t>ORD021</t>
  </si>
  <si>
    <t>ORD022</t>
  </si>
  <si>
    <t>ORD023</t>
  </si>
  <si>
    <t>1. Convert the data (E4:I29) to an Excel Table named 'SalesData'</t>
  </si>
  <si>
    <t>2. Sort the table by Customer (A-Z)</t>
  </si>
  <si>
    <t>3. Filter to show only 'ABC Corp' orders</t>
  </si>
  <si>
    <t>4. Clear filter, then filter for Amount &gt; 5000</t>
  </si>
  <si>
    <t>5. Add a Total Row showing Sum of Quantity and Amount</t>
  </si>
  <si>
    <t>6. Find and remove duplicate orders (ORD001 and ORD002 appear twice)</t>
  </si>
  <si>
    <t>7. Add a new column 'Unit Price' with formula: Amount/Quantity</t>
  </si>
  <si>
    <t>8. Sort by Amount (Largest to Smallest)</t>
  </si>
  <si>
    <t>9. Filter for Product = 'Laptop' AND Customer = 'ABC Corp'</t>
  </si>
  <si>
    <t>10. Use structured reference: =SUM(SalesData[Amount])</t>
  </si>
  <si>
    <t>Date</t>
  </si>
  <si>
    <t>Region</t>
  </si>
  <si>
    <t>Salesperson</t>
  </si>
  <si>
    <t>Sales Amount</t>
  </si>
  <si>
    <t>2024-06-26T16:00:00.000Z</t>
  </si>
  <si>
    <t>North</t>
  </si>
  <si>
    <t>Ahmad</t>
  </si>
  <si>
    <t>2024-10-24T16:00:00.000Z</t>
  </si>
  <si>
    <t>Fatimah</t>
  </si>
  <si>
    <t>2024-10-05T16:00:00.000Z</t>
  </si>
  <si>
    <t>Nurul</t>
  </si>
  <si>
    <t>2024-06-04T16:00:00.000Z</t>
  </si>
  <si>
    <t>Central</t>
  </si>
  <si>
    <t>2024-01-05T16:00:00.000Z</t>
  </si>
  <si>
    <t>East</t>
  </si>
  <si>
    <t>Webcam</t>
  </si>
  <si>
    <t>Ali</t>
  </si>
  <si>
    <t>Mariam</t>
  </si>
  <si>
    <t>2024-06-19T16:00:00.000Z</t>
  </si>
  <si>
    <t>Ismail</t>
  </si>
  <si>
    <t>2024-07-24T16:00:00.000Z</t>
  </si>
  <si>
    <t>2024-05-01T16:00:00.000Z</t>
  </si>
  <si>
    <t>Desktop</t>
  </si>
  <si>
    <t>2024-01-03T16:00:00.000Z</t>
  </si>
  <si>
    <t>Hassan</t>
  </si>
  <si>
    <t>2024-07-25T16:00:00.000Z</t>
  </si>
  <si>
    <t>2024-11-22T16:00:00.000Z</t>
  </si>
  <si>
    <t>2024-08-05T16:00:00.000Z</t>
  </si>
  <si>
    <t>Scanner</t>
  </si>
  <si>
    <t>2024-07-04T16:00:00.000Z</t>
  </si>
  <si>
    <t>2024-03-16T16:00:00.000Z</t>
  </si>
  <si>
    <t>West</t>
  </si>
  <si>
    <t>2024-12-27T16:00:00.000Z</t>
  </si>
  <si>
    <t>2024-05-20T16:00:00.000Z</t>
  </si>
  <si>
    <t>South</t>
  </si>
  <si>
    <t>2024-08-03T16:00:00.000Z</t>
  </si>
  <si>
    <t>Siti</t>
  </si>
  <si>
    <t>2024-02-19T16:00:00.000Z</t>
  </si>
  <si>
    <t>2024-10-31T16:00:00.000Z</t>
  </si>
  <si>
    <t>2024-09-02T16:00:00.000Z</t>
  </si>
  <si>
    <t>2024-10-01T16:00:00.000Z</t>
  </si>
  <si>
    <t>Mohd</t>
  </si>
  <si>
    <t>2024-11-24T16:00:00.000Z</t>
  </si>
  <si>
    <t>2024-11-15T16:00:00.000Z</t>
  </si>
  <si>
    <t>2024-11-26T16:00:00.000Z</t>
  </si>
  <si>
    <t>2024-01-17T16:00:00.000Z</t>
  </si>
  <si>
    <t>2024-10-11T16:00:00.000Z</t>
  </si>
  <si>
    <t>2024-03-07T16:00:00.000Z</t>
  </si>
  <si>
    <t>2024-04-21T16:00:00.000Z</t>
  </si>
  <si>
    <t>Zainab</t>
  </si>
  <si>
    <t>2024-04-05T16:00:00.000Z</t>
  </si>
  <si>
    <t>2024-06-23T16:00:00.000Z</t>
  </si>
  <si>
    <t>2024-09-07T16:00:00.000Z</t>
  </si>
  <si>
    <t>2024-11-25T16:00:00.000Z</t>
  </si>
  <si>
    <t>2024-04-25T16:00:00.000Z</t>
  </si>
  <si>
    <t>2024-07-02T16:00:00.000Z</t>
  </si>
  <si>
    <t>2024-09-25T16:00:00.000Z</t>
  </si>
  <si>
    <t>2024-06-01T16:00:00.000Z</t>
  </si>
  <si>
    <t>2024-01-25T16:00:00.000Z</t>
  </si>
  <si>
    <t>2024-08-01T16:00:00.000Z</t>
  </si>
  <si>
    <t>2024-05-07T16:00:00.000Z</t>
  </si>
  <si>
    <t>2024-06-07T16:00:00.000Z</t>
  </si>
  <si>
    <t>2024-01-31T16:00:00.000Z</t>
  </si>
  <si>
    <t>2024-12-26T16:00:00.000Z</t>
  </si>
  <si>
    <t>2024-09-17T16:00:00.000Z</t>
  </si>
  <si>
    <t>2024-11-07T16:00:00.000Z</t>
  </si>
  <si>
    <t>2024-01-11T16:00:00.000Z</t>
  </si>
  <si>
    <t>2024-02-02T16:00:00.000Z</t>
  </si>
  <si>
    <t>2024-09-09T16:00:00.000Z</t>
  </si>
  <si>
    <t>2024-09-10T16:00:00.000Z</t>
  </si>
  <si>
    <t>2024-07-08T16:00:00.000Z</t>
  </si>
  <si>
    <t>2024-07-15T16:00:00.000Z</t>
  </si>
  <si>
    <t>2024-07-01T16:00:00.000Z</t>
  </si>
  <si>
    <t>2024-12-08T16:00:00.000Z</t>
  </si>
  <si>
    <t>2024-12-07T16:00:00.000Z</t>
  </si>
  <si>
    <t>2024-08-12T16:00:00.000Z</t>
  </si>
  <si>
    <t>2024-09-30T16:00:00.000Z</t>
  </si>
  <si>
    <t>2024-06-22T16:00:00.000Z</t>
  </si>
  <si>
    <t>2024-06-25T16:00:00.000Z</t>
  </si>
  <si>
    <t>2024-05-04T16:00:00.000Z</t>
  </si>
  <si>
    <t>2024-07-03T16:00:00.000Z</t>
  </si>
  <si>
    <t>2024-03-19T16:00:00.000Z</t>
  </si>
  <si>
    <t>2024-11-11T16:00:00.000Z</t>
  </si>
  <si>
    <t>2024-06-11T16:00:00.000Z</t>
  </si>
  <si>
    <t>2024-06-16T16:00:00.000Z</t>
  </si>
  <si>
    <t>2024-03-11T16:00:00.000Z</t>
  </si>
  <si>
    <t>2024-03-05T16:00:00.000Z</t>
  </si>
  <si>
    <t>2024-07-11T16:00:00.000Z</t>
  </si>
  <si>
    <t>2024-08-23T16:00:00.000Z</t>
  </si>
  <si>
    <t>2024-04-19T16:00:00.000Z</t>
  </si>
  <si>
    <t>2024-03-25T16:00:00.000Z</t>
  </si>
  <si>
    <t>2024-11-20T16:00:00.000Z</t>
  </si>
  <si>
    <t>2024-02-17T16:00:00.000Z</t>
  </si>
  <si>
    <t>2024-02-23T16:00:00.000Z</t>
  </si>
  <si>
    <t>2024-07-23T16:00:00.000Z</t>
  </si>
  <si>
    <t>2024-09-18T16:00:00.000Z</t>
  </si>
  <si>
    <t>2024-04-24T16:00:00.000Z</t>
  </si>
  <si>
    <t>2024-08-24T16:00:00.000Z</t>
  </si>
  <si>
    <t>2024-12-13T16:00:00.000Z</t>
  </si>
  <si>
    <t>2024-12-03T16:00:00.000Z</t>
  </si>
  <si>
    <t>2024-04-20T16:00:00.000Z</t>
  </si>
  <si>
    <t>2024-11-23T16:00:00.000Z</t>
  </si>
  <si>
    <t>2024-08-26T16:00:00.000Z</t>
  </si>
  <si>
    <t>PIVOT TABLE EXERCISES</t>
  </si>
  <si>
    <t>Use the Sales Dataset sheet for these exercises</t>
  </si>
  <si>
    <t>EXERCISE 1: Create Basic Pivot Table</t>
  </si>
  <si>
    <t>1. Go to Sales Dataset → Select all data (A1:F101)</t>
  </si>
  <si>
    <t>2. Insert → PivotTable → New Worksheet</t>
  </si>
  <si>
    <t>3. Add Region to ROWS, Sales Amount to VALUES</t>
  </si>
  <si>
    <t>EXERCISE 2: Multi-Level Pivot Table</t>
  </si>
  <si>
    <t>Add Product under Region in ROWS to see sales by Region AND Product</t>
  </si>
  <si>
    <t>EXERCISE 3: Cross-Tabulation</t>
  </si>
  <si>
    <t>Move Product from ROWS to COLUMNS for a matrix view</t>
  </si>
  <si>
    <t>EXERCISE 4: Add Slicers</t>
  </si>
  <si>
    <t>PivotTable Analyze → Insert Slicer → Select Salesperson and Product</t>
  </si>
  <si>
    <t>EXERCISE 5: Create Pivot Chart</t>
  </si>
  <si>
    <t>PivotTable Analyze → PivotChart → Choose Column Chart</t>
  </si>
  <si>
    <t>CHART EXERCISES DATA</t>
  </si>
  <si>
    <t>DATA SET 1: Regional Sales (for Bar Chart)</t>
  </si>
  <si>
    <t>DATA SET 2: Market Share (for Pie Chart)</t>
  </si>
  <si>
    <t>Market Share %</t>
  </si>
  <si>
    <t>Laptops</t>
  </si>
  <si>
    <t>Desktops</t>
  </si>
  <si>
    <t>Monitors</t>
  </si>
  <si>
    <t>Peripherals</t>
  </si>
  <si>
    <t>Others</t>
  </si>
  <si>
    <t>DATA SET 3: Monthly Trends (for Line Chart)</t>
  </si>
  <si>
    <t>Jan</t>
  </si>
  <si>
    <t>Feb</t>
  </si>
  <si>
    <t>Mar</t>
  </si>
  <si>
    <t>Apr</t>
  </si>
  <si>
    <t>Jun</t>
  </si>
  <si>
    <t>Jul</t>
  </si>
  <si>
    <t>Aug</t>
  </si>
  <si>
    <t>Sep</t>
  </si>
  <si>
    <t>Oct</t>
  </si>
  <si>
    <t>Nov</t>
  </si>
  <si>
    <t>Dec</t>
  </si>
  <si>
    <t>DATA SET 4: Sales &amp; Growth (for Combo Chart)</t>
  </si>
  <si>
    <t>Quarter</t>
  </si>
  <si>
    <t>Growth %</t>
  </si>
  <si>
    <t>Q1</t>
  </si>
  <si>
    <t>Q2</t>
  </si>
  <si>
    <t>Q3</t>
  </si>
  <si>
    <t>Q4</t>
  </si>
  <si>
    <t>CHART EXERCISES:</t>
  </si>
  <si>
    <t>1. Create a Column Chart using Data Set 1</t>
  </si>
  <si>
    <t>2. Create a Pie Chart using Data Set 2 (show percentages)</t>
  </si>
  <si>
    <t>3. Create a Line Chart using Data Set 3 (compare 2023 vs 2024)</t>
  </si>
  <si>
    <t>4. Create a Combo Chart: Sales as Columns, Growth % as Line</t>
  </si>
  <si>
    <t>5. Add chart titles, axis labels, and legends to all charts</t>
  </si>
  <si>
    <t>EXCEL TRAINING EXERCISES</t>
  </si>
  <si>
    <t>Complete all exercises during the training session</t>
  </si>
  <si>
    <t>═══════════════════════════════════════════════════════</t>
  </si>
  <si>
    <t>DAY 1 EXERCISES</t>
  </si>
  <si>
    <t>EXERCISE 1: Basic Navigation (Module 1)</t>
  </si>
  <si>
    <t>1. Open a new workbook and save it as 'MyFirstWorkbook.xlsx'</t>
  </si>
  <si>
    <t>2. Navigate to cell Z100 using the Name Box</t>
  </si>
  <si>
    <t>3. Select the range A1:D20 and apply bold formatting</t>
  </si>
  <si>
    <t>4. Add 3 new worksheets and rename them: Data, Analysis, Report</t>
  </si>
  <si>
    <t>EXERCISE 2: Data Entry (Module 2)</t>
  </si>
  <si>
    <t>1. Create an employee list with 10 employees (see Employee Dataset)</t>
  </si>
  <si>
    <t>2. Use AutoFill to create Employee IDs: EMP001 to EMP010</t>
  </si>
  <si>
    <t>3. Use Flash Fill to extract first names from full names</t>
  </si>
  <si>
    <t>4. Sort the list by Department, then by Name</t>
  </si>
  <si>
    <t>EXERCISE 3: Formatting (Module 3)</t>
  </si>
  <si>
    <t>1. Go to M3-Formatting sheet and format the messy data</t>
  </si>
  <si>
    <t>2. Apply proper formatting as per the requirements listed</t>
  </si>
  <si>
    <t>3. Add conditional formatting for salaries &gt; 5000</t>
  </si>
  <si>
    <t>EXERCISE 4: Essential Formulas (Module 4)</t>
  </si>
  <si>
    <t>1. Go to M4-Essential Formulas sheet</t>
  </si>
  <si>
    <t>2. Complete all formula exercises using the practice data</t>
  </si>
  <si>
    <t>3. Calculate: Total Sales, Average Sales, Max, Min, Count</t>
  </si>
  <si>
    <t>DAY 2 EXERCISES</t>
  </si>
  <si>
    <t>EXERCISE 5: Intermediate Functions (Module 5)</t>
  </si>
  <si>
    <t>1. Complete the KPI scenario in M5-Intermediate Functions</t>
  </si>
  <si>
    <t>2. Create IF formulas for performance ratings</t>
  </si>
  <si>
    <t>3. Use COUNTIF and SUMIF to analyze department data</t>
  </si>
  <si>
    <t>EXERCISE 6: Lookup Functions (Module 6)</t>
  </si>
  <si>
    <t>1. Build an employee lookup system using VLOOKUP</t>
  </si>
  <si>
    <t>2. Recreate using XLOOKUP with error handling</t>
  </si>
  <si>
    <t>EXERCISE 7: Excel Tables (Module 7)</t>
  </si>
  <si>
    <t>1. Convert customer sales data to an Excel Table</t>
  </si>
  <si>
    <t>2. Sort, filter, and remove duplicates</t>
  </si>
  <si>
    <t>3. Add Total Row with SUM calculations</t>
  </si>
  <si>
    <t>EXERCISE 8: Pivot Tables (Module 8)</t>
  </si>
  <si>
    <t>1. Create a Pivot Table from Sales Dataset</t>
  </si>
  <si>
    <t>2. Add Slicers for interactive filtering</t>
  </si>
  <si>
    <t>3. Create a Pivot Chart</t>
  </si>
  <si>
    <t>EXERCISE 9: Charts (Module 9)</t>
  </si>
  <si>
    <t>1. Create all 4 chart types using the provided data</t>
  </si>
  <si>
    <t>2. Customize with titles, labels, and legends</t>
  </si>
  <si>
    <t>MINI QUIZ - EXCEL 365 TRAINING</t>
  </si>
  <si>
    <t>Answer all questions. Each question is worth 1 point.</t>
  </si>
  <si>
    <t>ANSWER KEY - FOR TRAINER USE ONLY</t>
  </si>
  <si>
    <t>This sheet contains all answers and solutions</t>
  </si>
  <si>
    <t>MINI QUIZ ANSWERS</t>
  </si>
  <si>
    <t>Question</t>
  </si>
  <si>
    <t>Answer</t>
  </si>
  <si>
    <t>Explanation</t>
  </si>
  <si>
    <t>B</t>
  </si>
  <si>
    <t>Ctrl + S saves the workbook</t>
  </si>
  <si>
    <t>C</t>
  </si>
  <si>
    <t>Cell references start with column letter, not number</t>
  </si>
  <si>
    <t>Name Box shows the active cell address (e.g., A1)</t>
  </si>
  <si>
    <t>COUNT counts numeric cells; COUNTA counts non-empty</t>
  </si>
  <si>
    <t>Q5</t>
  </si>
  <si>
    <t>ROUND(3.456, 2) = 3.46 (rounds up at 5)</t>
  </si>
  <si>
    <t>Q6</t>
  </si>
  <si>
    <t>IF returns different values based on condition</t>
  </si>
  <si>
    <t>Q7</t>
  </si>
  <si>
    <t>SUMIF sums B where A matches criteria</t>
  </si>
  <si>
    <t>Q8</t>
  </si>
  <si>
    <t>XLOOKUP can look in any direction, VLOOKUP only right</t>
  </si>
  <si>
    <t>Q9</t>
  </si>
  <si>
    <t>Slicers provide visual filtering for Pivot Tables</t>
  </si>
  <si>
    <t>Q10</t>
  </si>
  <si>
    <t>Pie charts show proportions/percentages of a whole</t>
  </si>
  <si>
    <t>MODULE 3: FORMATTING EXERCISE ANSWER</t>
  </si>
  <si>
    <t>Salary (RM)</t>
  </si>
  <si>
    <t>Start Date</t>
  </si>
  <si>
    <t>MODULE 4: FORMULA EXERCISE ANSWERS</t>
  </si>
  <si>
    <t>Result</t>
  </si>
  <si>
    <t>Total Profit = SUM(Sales) - SUM(Expenses)</t>
  </si>
  <si>
    <t>(Current date)</t>
  </si>
  <si>
    <t>FINAL ASSESSMENT - EXCEL 365 TRAINING</t>
  </si>
  <si>
    <t>Time: 30 minutes | Total: 20 points</t>
  </si>
  <si>
    <t>PARTICIPANT INFORMATION</t>
  </si>
  <si>
    <t>Name:</t>
  </si>
  <si>
    <t>Department:</t>
  </si>
  <si>
    <t>Date:</t>
  </si>
  <si>
    <t>PART A: MULTIPLE CHOICE (10 points - 1 point each)</t>
  </si>
  <si>
    <t>PART B: PRACTICAL EXERCISE (10 points)</t>
  </si>
  <si>
    <t>Use the data below to complete the tasks:</t>
  </si>
  <si>
    <t>Q1 Sales</t>
  </si>
  <si>
    <t>Q2 Sales</t>
  </si>
  <si>
    <t>Target</t>
  </si>
  <si>
    <t>TASKS (Complete in the space provided):</t>
  </si>
  <si>
    <t>1. (2 points) Calculate Total Sales (Q1+Q2) for each product in column F</t>
  </si>
  <si>
    <t xml:space="preserve">   Formula used: _______________________</t>
  </si>
  <si>
    <t>2. (2 points) In G62, create a formula to show 'Achieved' if Total &gt;= Target, else 'Not Achieved'</t>
  </si>
  <si>
    <t>3. (2 points) Calculate the SUM of all Q1 Sales in cell C70</t>
  </si>
  <si>
    <t>4. (2 points) Use SUMIF to calculate total Q1 Sales for 'North' region only</t>
  </si>
  <si>
    <t>5. (2 points) Count how many products achieved their target (using COUNTIF)</t>
  </si>
  <si>
    <t>SCORING</t>
  </si>
  <si>
    <t>Part A (Multiple Choice):</t>
  </si>
  <si>
    <t>/10</t>
  </si>
  <si>
    <t>Part B (Practical):</t>
  </si>
  <si>
    <t>TOTAL SCORE:</t>
  </si>
  <si>
    <t>/20</t>
  </si>
  <si>
    <t>PERCENTAGE:</t>
  </si>
  <si>
    <t>%</t>
  </si>
  <si>
    <t>FINAL MINI PROJECT: SALES PERFORMANCE DASHBOARD</t>
  </si>
  <si>
    <t>Create a complete dashboard using the data below</t>
  </si>
  <si>
    <t>PROJECT REQUIREMENTS:</t>
  </si>
  <si>
    <t>1. Clean the data (fix inconsistencies, remove duplicates)</t>
  </si>
  <si>
    <t>2. Add formulas: Total Sales, Status (IF function)</t>
  </si>
  <si>
    <t>3. Use SUMIF to calculate sales by region</t>
  </si>
  <si>
    <t>4. Convert to Excel Table</t>
  </si>
  <si>
    <t>5. Create Pivot Table with Slicers</t>
  </si>
  <si>
    <t>6. Create at least 2 charts</t>
  </si>
  <si>
    <t>RAW DATA (Intentionally messy - participants must clean)</t>
  </si>
  <si>
    <t>region</t>
  </si>
  <si>
    <t>PRODUCT</t>
  </si>
  <si>
    <t>salesperson</t>
  </si>
  <si>
    <t>qty</t>
  </si>
  <si>
    <t>unit price</t>
  </si>
  <si>
    <t>NORTH</t>
  </si>
  <si>
    <t>monitor</t>
  </si>
  <si>
    <t>east</t>
  </si>
  <si>
    <t>ali</t>
  </si>
  <si>
    <t>2024-03-17T16:00:00.000Z</t>
  </si>
  <si>
    <t>west</t>
  </si>
  <si>
    <t>printer</t>
  </si>
  <si>
    <t>2024-02-16T16:00:00.000Z</t>
  </si>
  <si>
    <t>north</t>
  </si>
  <si>
    <t>keyboard</t>
  </si>
  <si>
    <t>laptop</t>
  </si>
  <si>
    <t>AHMAD</t>
  </si>
  <si>
    <t>2024-02-12T16:00:00.000Z</t>
  </si>
  <si>
    <t>2024-01-21T16:00:00.000Z</t>
  </si>
  <si>
    <t>2024-06-13T16:00:00.000Z</t>
  </si>
  <si>
    <t>siti</t>
  </si>
  <si>
    <t>2024-05-22T16:00:00.000Z</t>
  </si>
  <si>
    <t>south</t>
  </si>
  <si>
    <t>ahmad</t>
  </si>
  <si>
    <t>2024-05-26T16:00:00.000Z</t>
  </si>
  <si>
    <t>2024-05-02T16:00:00.000Z</t>
  </si>
  <si>
    <t>2024-04-08T16:00:00.000Z</t>
  </si>
  <si>
    <t>2024-06-18T16:00:00.000Z</t>
  </si>
  <si>
    <t>2024-01-24T16:00:00.000Z</t>
  </si>
  <si>
    <t>2024-03-26T16:00:00.000Z</t>
  </si>
  <si>
    <t>2024-03-12T16:00:00.000Z</t>
  </si>
  <si>
    <t>2024-01-16T16:00:00.000Z</t>
  </si>
  <si>
    <t>2024-06-17T16:00:00.000Z</t>
  </si>
  <si>
    <t>nurul</t>
  </si>
  <si>
    <t>ORD024</t>
  </si>
  <si>
    <t>ORD025</t>
  </si>
  <si>
    <t>ORD026</t>
  </si>
  <si>
    <t>2024-01-07T16:00:00.000Z</t>
  </si>
  <si>
    <t>ORD027</t>
  </si>
  <si>
    <t>2024-03-14T16:00:00.000Z</t>
  </si>
  <si>
    <t>ORD028</t>
  </si>
  <si>
    <t>2024-05-12T16:00:00.000Z</t>
  </si>
  <si>
    <t>mohd</t>
  </si>
  <si>
    <t>ORD029</t>
  </si>
  <si>
    <t>ORD030</t>
  </si>
  <si>
    <t>2024-05-31T16:00:00.000Z</t>
  </si>
  <si>
    <t>ORD031</t>
  </si>
  <si>
    <t>2024-02-11T16:00:00.000Z</t>
  </si>
  <si>
    <t>ORD032</t>
  </si>
  <si>
    <t>ORD033</t>
  </si>
  <si>
    <t>2024-06-24T16:00:00.000Z</t>
  </si>
  <si>
    <t>ORD034</t>
  </si>
  <si>
    <t>2024-03-08T16:00:00.000Z</t>
  </si>
  <si>
    <t>ORD035</t>
  </si>
  <si>
    <t>2024-05-06T16:00:00.000Z</t>
  </si>
  <si>
    <t>LAPTOP</t>
  </si>
  <si>
    <t>ORD036</t>
  </si>
  <si>
    <t>2024-04-22T16:00:00.000Z</t>
  </si>
  <si>
    <t>ORD037</t>
  </si>
  <si>
    <t>2024-04-15T16:00:00.000Z</t>
  </si>
  <si>
    <t>ORD038</t>
  </si>
  <si>
    <t>ORD039</t>
  </si>
  <si>
    <t>ORD040</t>
  </si>
  <si>
    <t>2024-05-25T16:00:00.000Z</t>
  </si>
  <si>
    <t>ORD041</t>
  </si>
  <si>
    <t>2024-06-06T16:00:00.000Z</t>
  </si>
  <si>
    <t>SOUTH</t>
  </si>
  <si>
    <t>ORD042</t>
  </si>
  <si>
    <t>ORD043</t>
  </si>
  <si>
    <t>ORD044</t>
  </si>
  <si>
    <t>ORD045</t>
  </si>
  <si>
    <t>2024-01-18T16:00:00.000Z</t>
  </si>
  <si>
    <t>ORD046</t>
  </si>
  <si>
    <t>ORD047</t>
  </si>
  <si>
    <t>2024-03-21T16:00:00.000Z</t>
  </si>
  <si>
    <t>ORD048</t>
  </si>
  <si>
    <t>ORD049</t>
  </si>
  <si>
    <t>2024-02-29T16:00:00.000Z</t>
  </si>
  <si>
    <t>ORD050</t>
  </si>
  <si>
    <t>TRAINER NOTES &amp; FACILITATION GUIDE</t>
  </si>
  <si>
    <t>Confidential - For Trainer Use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</si>
</sst>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0" x14ac:knownFonts="1">
    <font>
      <sz val="11"/>
      <color theme="1"/>
      <name val="Aptos Narrow"/>
      <family val="2"/>
      <scheme val="minor"/>
    </font>
    <font>
      <b/>
      <sz val="11"/>
      <color theme="1"/>
      <name val="Aptos Narrow"/>
      <family val="2"/>
      <scheme val="minor"/>
    </font>
    <font>
      <b/>
      <sz val="24"/>
      <color rgb="FF1F4E79"/>
      <name val="Aptos Narrow"/>
      <family val="2"/>
      <scheme val="minor"/>
    </font>
    <font>
      <i/>
      <sz val="16"/>
      <color theme="1"/>
      <name val="Aptos Narrow"/>
      <family val="2"/>
      <scheme val="minor"/>
    </font>
    <font>
      <b/>
      <sz val="14"/>
      <color rgb="FF2E75B6"/>
      <name val="Aptos Narrow"/>
      <family val="2"/>
      <scheme val="minor"/>
    </font>
    <font>
      <b/>
      <sz val="11"/>
      <color rgb="FFFFFFFF"/>
      <name val="Aptos Narrow"/>
      <family val="2"/>
      <scheme val="minor"/>
    </font>
    <font>
      <b/>
      <sz val="22"/>
      <color rgb="FF1F4E79"/>
      <name val="Aptos Narrow"/>
      <family val="2"/>
      <scheme val="minor"/>
    </font>
    <font>
      <b/>
      <sz val="11"/>
      <color rgb="FF2E75B6"/>
      <name val="Aptos Narrow"/>
      <family val="2"/>
      <scheme val="minor"/>
    </font>
    <font>
      <b/>
      <sz val="12"/>
      <color rgb="FF2E75B6"/>
      <name val="Aptos Narrow"/>
      <family val="2"/>
      <scheme val="minor"/>
    </font>
    <font>
      <b/>
      <sz val="18"/>
      <color theme="1"/>
      <name val="Aptos Narrow"/>
      <family val="2"/>
      <scheme val="minor"/>
    </font>
    <font>
      <i/>
      <sz val="11"/>
      <color theme="1"/>
      <name val="Aptos Narrow"/>
      <family val="2"/>
      <scheme val="minor"/>
    </font>
    <font>
      <b/>
      <sz val="18"/>
      <color rgb="FF1F4E79"/>
      <name val="Aptos Narrow"/>
      <family val="2"/>
      <scheme val="minor"/>
    </font>
    <font>
      <i/>
      <sz val="11"/>
      <color rgb="FF666666"/>
      <name val="Aptos Narrow"/>
      <family val="2"/>
      <scheme val="minor"/>
    </font>
    <font>
      <b/>
      <sz val="14"/>
      <color rgb="FFC00000"/>
      <name val="Aptos Narrow"/>
      <family val="2"/>
      <scheme val="minor"/>
    </font>
    <font>
      <b/>
      <sz val="11"/>
      <color rgb="FF1F4E79"/>
      <name val="Aptos Narrow"/>
      <family val="2"/>
      <scheme val="minor"/>
    </font>
    <font>
      <b/>
      <sz val="11"/>
      <color rgb="FFC00000"/>
      <name val="Aptos Narrow"/>
      <family val="2"/>
      <scheme val="minor"/>
    </font>
    <font>
      <b/>
      <sz val="14"/>
      <color rgb="FF1F4E79"/>
      <name val="Aptos Narrow"/>
      <family val="2"/>
      <scheme val="minor"/>
    </font>
    <font>
      <b/>
      <sz val="18"/>
      <color rgb="FFC00000"/>
      <name val="Aptos Narrow"/>
      <family val="2"/>
      <scheme val="minor"/>
    </font>
    <font>
      <b/>
      <sz val="16"/>
      <color rgb="FF1F4E79"/>
      <name val="Aptos Narrow"/>
      <family val="2"/>
      <scheme val="minor"/>
    </font>
    <font>
      <i/>
      <sz val="11"/>
      <color rgb="FFC00000"/>
      <name val="Aptos Narrow"/>
      <family val="2"/>
      <scheme val="minor"/>
    </font>
  </fonts>
  <fills count="6">
    <fill>
      <patternFill patternType="none"/>
    </fill>
    <fill>
      <patternFill patternType="gray125"/>
    </fill>
    <fill>
      <patternFill patternType="solid">
        <fgColor rgb="FF2E75B6"/>
        <bgColor indexed="64"/>
      </patternFill>
    </fill>
    <fill>
      <patternFill patternType="solid">
        <fgColor rgb="FFE7E6E6"/>
        <bgColor indexed="64"/>
      </patternFill>
    </fill>
    <fill>
      <patternFill patternType="solid">
        <fgColor rgb="FFD9E2F3"/>
        <bgColor indexed="64"/>
      </patternFill>
    </fill>
    <fill>
      <patternFill patternType="solid">
        <fgColor rgb="FFFFFF00"/>
        <bgColor indexed="64"/>
      </patternFill>
    </fill>
  </fills>
  <borders count="10">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41">
    <xf numFmtId="0" fontId="0" fillId="0" borderId="0" xfId="0"/>
    <xf numFmtId="0" fontId="2" fillId="0" borderId="0" xfId="0" applyFont="1" applyAlignment="1">
      <alignment horizontal="center"/>
    </xf>
    <xf numFmtId="0" fontId="3" fillId="0" borderId="0" xfId="0" applyFont="1" applyAlignment="1">
      <alignment horizontal="center"/>
    </xf>
    <xf numFmtId="0" fontId="4" fillId="0" borderId="0" xfId="0" applyFont="1"/>
    <xf numFmtId="0" fontId="5" fillId="2" borderId="0" xfId="0" applyFont="1" applyFill="1"/>
    <xf numFmtId="0" fontId="0" fillId="0" borderId="0" xfId="0" applyBorder="1"/>
    <xf numFmtId="0" fontId="0" fillId="0" borderId="1" xfId="0" applyBorder="1"/>
    <xf numFmtId="0" fontId="5" fillId="2" borderId="2" xfId="0" applyFont="1" applyFill="1" applyBorder="1"/>
    <xf numFmtId="0" fontId="5" fillId="2" borderId="3" xfId="0" applyFont="1" applyFill="1" applyBorder="1"/>
    <xf numFmtId="0" fontId="0" fillId="0" borderId="4" xfId="0" applyBorder="1"/>
    <xf numFmtId="0" fontId="0" fillId="0" borderId="5" xfId="0" applyBorder="1"/>
    <xf numFmtId="0" fontId="5" fillId="2" borderId="7" xfId="0" applyFont="1" applyFill="1" applyBorder="1"/>
    <xf numFmtId="0" fontId="0" fillId="0" borderId="8" xfId="0" applyBorder="1"/>
    <xf numFmtId="0" fontId="0" fillId="0" borderId="9" xfId="0" applyBorder="1"/>
    <xf numFmtId="0" fontId="5" fillId="2" borderId="6" xfId="0" applyFont="1" applyFill="1" applyBorder="1"/>
    <xf numFmtId="0" fontId="0" fillId="0" borderId="6" xfId="0" applyBorder="1"/>
    <xf numFmtId="0" fontId="6" fillId="0" borderId="0" xfId="0" applyFont="1"/>
    <xf numFmtId="0" fontId="0" fillId="3" borderId="0" xfId="0" applyFill="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3" fontId="0" fillId="0" borderId="0" xfId="0" applyNumberFormat="1"/>
    <xf numFmtId="164" fontId="0" fillId="0" borderId="0" xfId="0" applyNumberFormat="1"/>
    <xf numFmtId="3" fontId="0" fillId="0" borderId="0" xfId="0" applyNumberFormat="1" applyBorder="1"/>
    <xf numFmtId="164" fontId="0" fillId="0" borderId="0" xfId="0" applyNumberFormat="1" applyBorder="1"/>
    <xf numFmtId="3" fontId="0" fillId="0" borderId="1" xfId="0" applyNumberFormat="1" applyBorder="1"/>
    <xf numFmtId="164" fontId="0" fillId="0" borderId="1" xfId="0" applyNumberFormat="1" applyBorder="1"/>
    <xf numFmtId="14" fontId="0" fillId="0" borderId="0" xfId="0" applyNumberFormat="1"/>
    <xf numFmtId="15" fontId="0" fillId="0" borderId="0" xfId="0" applyNumberFormat="1"/>
    <xf numFmtId="0" fontId="13" fillId="0" borderId="0" xfId="0" applyFont="1"/>
    <xf numFmtId="0" fontId="14" fillId="0" borderId="0" xfId="0" applyFont="1"/>
    <xf numFmtId="0" fontId="15" fillId="0" borderId="0" xfId="0" applyFont="1"/>
    <xf numFmtId="0" fontId="1" fillId="4" borderId="0" xfId="0" applyFont="1" applyFill="1"/>
    <xf numFmtId="0" fontId="16" fillId="0" borderId="0" xfId="0" applyFont="1"/>
    <xf numFmtId="0" fontId="1" fillId="5" borderId="0" xfId="0" applyFont="1" applyFill="1"/>
    <xf numFmtId="0" fontId="17" fillId="0" borderId="0" xfId="0" applyFont="1"/>
    <xf numFmtId="0" fontId="18" fillId="0" borderId="0" xfId="0" applyFont="1"/>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3833A-71AC-4E1B-A17B-278C708C134A}">
  <sheetPr>
    <tabColor rgb="FF1F4E79"/>
  </sheetPr>
  <dimension ref="A1:E48"/>
  <sheetViews>
    <sheetView workbookViewId="0">
      <selection sqref="A1:E1"/>
    </sheetView>
  </sheetViews>
  <sheetFormatPr defaultRowHeight="14.4" x14ac:dyDescent="0.3"/>
  <cols>
    <col min="1" max="1" width="11.109375" customWidth="1"/>
    <col min="2" max="2" width="27.77734375" customWidth="1"/>
    <col min="3" max="3" width="18.5546875" customWidth="1"/>
    <col min="4" max="4" width="51.88671875" customWidth="1"/>
    <col min="5" max="5" width="14.77734375" customWidth="1"/>
  </cols>
  <sheetData>
    <row r="1" spans="1:5" ht="31.2" x14ac:dyDescent="0.6">
      <c r="A1" s="1" t="s">
        <v>0</v>
      </c>
      <c r="B1" s="1"/>
      <c r="C1" s="1"/>
      <c r="D1" s="1"/>
      <c r="E1" s="1"/>
    </row>
    <row r="2" spans="1:5" ht="21" x14ac:dyDescent="0.4">
      <c r="A2" s="2" t="s">
        <v>1</v>
      </c>
      <c r="B2" s="2"/>
      <c r="C2" s="2"/>
      <c r="D2" s="2"/>
      <c r="E2" s="2"/>
    </row>
    <row r="4" spans="1:5" ht="18" x14ac:dyDescent="0.35">
      <c r="A4" s="3" t="s">
        <v>2</v>
      </c>
    </row>
    <row r="6" spans="1:5" x14ac:dyDescent="0.3">
      <c r="A6">
        <v>1</v>
      </c>
      <c r="B6" t="s">
        <v>3</v>
      </c>
    </row>
    <row r="7" spans="1:5" x14ac:dyDescent="0.3">
      <c r="A7">
        <v>2</v>
      </c>
      <c r="B7" t="s">
        <v>4</v>
      </c>
    </row>
    <row r="8" spans="1:5" x14ac:dyDescent="0.3">
      <c r="A8">
        <v>3</v>
      </c>
      <c r="B8" t="s">
        <v>5</v>
      </c>
    </row>
    <row r="9" spans="1:5" x14ac:dyDescent="0.3">
      <c r="A9">
        <v>4</v>
      </c>
      <c r="B9" t="s">
        <v>6</v>
      </c>
    </row>
    <row r="10" spans="1:5" x14ac:dyDescent="0.3">
      <c r="A10">
        <v>5</v>
      </c>
      <c r="B10" t="s">
        <v>7</v>
      </c>
    </row>
    <row r="12" spans="1:5" ht="18" x14ac:dyDescent="0.35">
      <c r="A12" s="3" t="s">
        <v>8</v>
      </c>
    </row>
    <row r="14" spans="1:5" x14ac:dyDescent="0.3">
      <c r="A14" t="s">
        <v>9</v>
      </c>
    </row>
    <row r="15" spans="1:5" x14ac:dyDescent="0.3">
      <c r="A15" t="s">
        <v>10</v>
      </c>
      <c r="B15" t="s">
        <v>11</v>
      </c>
    </row>
    <row r="16" spans="1:5" x14ac:dyDescent="0.3">
      <c r="A16" t="s">
        <v>10</v>
      </c>
      <c r="B16" t="s">
        <v>12</v>
      </c>
    </row>
    <row r="17" spans="1:5" x14ac:dyDescent="0.3">
      <c r="A17" t="s">
        <v>10</v>
      </c>
      <c r="B17" t="s">
        <v>13</v>
      </c>
    </row>
    <row r="18" spans="1:5" x14ac:dyDescent="0.3">
      <c r="A18" t="s">
        <v>10</v>
      </c>
      <c r="B18" t="s">
        <v>14</v>
      </c>
    </row>
    <row r="19" spans="1:5" x14ac:dyDescent="0.3">
      <c r="A19" t="s">
        <v>10</v>
      </c>
      <c r="B19" t="s">
        <v>15</v>
      </c>
    </row>
    <row r="20" spans="1:5" x14ac:dyDescent="0.3">
      <c r="A20" t="s">
        <v>10</v>
      </c>
      <c r="B20" t="s">
        <v>16</v>
      </c>
    </row>
    <row r="21" spans="1:5" x14ac:dyDescent="0.3">
      <c r="A21" t="s">
        <v>10</v>
      </c>
      <c r="B21" t="s">
        <v>17</v>
      </c>
    </row>
    <row r="22" spans="1:5" x14ac:dyDescent="0.3">
      <c r="A22" t="s">
        <v>10</v>
      </c>
      <c r="B22" t="s">
        <v>18</v>
      </c>
    </row>
    <row r="24" spans="1:5" ht="18" x14ac:dyDescent="0.35">
      <c r="A24" s="3" t="s">
        <v>19</v>
      </c>
    </row>
    <row r="26" spans="1:5" x14ac:dyDescent="0.3">
      <c r="A26" s="14" t="s">
        <v>20</v>
      </c>
      <c r="B26" s="14" t="s">
        <v>21</v>
      </c>
      <c r="C26" s="14" t="s">
        <v>22</v>
      </c>
      <c r="D26" s="14" t="s">
        <v>23</v>
      </c>
      <c r="E26" s="14" t="s">
        <v>24</v>
      </c>
    </row>
    <row r="27" spans="1:5" x14ac:dyDescent="0.3">
      <c r="A27" s="15"/>
      <c r="B27" s="15" t="s">
        <v>25</v>
      </c>
      <c r="C27" s="15" t="s">
        <v>26</v>
      </c>
      <c r="D27" s="15" t="s">
        <v>27</v>
      </c>
      <c r="E27" s="15" t="s">
        <v>28</v>
      </c>
    </row>
    <row r="28" spans="1:5" x14ac:dyDescent="0.3">
      <c r="A28" s="15"/>
      <c r="B28" s="15" t="s">
        <v>29</v>
      </c>
      <c r="C28" s="15" t="s">
        <v>30</v>
      </c>
      <c r="D28" s="15" t="s">
        <v>31</v>
      </c>
      <c r="E28" s="15" t="s">
        <v>32</v>
      </c>
    </row>
    <row r="29" spans="1:5" x14ac:dyDescent="0.3">
      <c r="A29" s="15"/>
      <c r="B29" s="15" t="s">
        <v>33</v>
      </c>
      <c r="C29" s="15"/>
      <c r="D29" s="15" t="s">
        <v>34</v>
      </c>
      <c r="E29" s="15" t="s">
        <v>35</v>
      </c>
    </row>
    <row r="30" spans="1:5" x14ac:dyDescent="0.3">
      <c r="A30" s="15"/>
      <c r="B30" s="15" t="s">
        <v>36</v>
      </c>
      <c r="C30" s="15" t="s">
        <v>37</v>
      </c>
      <c r="D30" s="15" t="s">
        <v>38</v>
      </c>
      <c r="E30" s="15" t="s">
        <v>39</v>
      </c>
    </row>
    <row r="31" spans="1:5" x14ac:dyDescent="0.3">
      <c r="A31" s="15"/>
      <c r="B31" s="15" t="s">
        <v>40</v>
      </c>
      <c r="C31" s="15"/>
      <c r="D31" s="15" t="s">
        <v>41</v>
      </c>
      <c r="E31" s="15" t="s">
        <v>32</v>
      </c>
    </row>
    <row r="32" spans="1:5" x14ac:dyDescent="0.3">
      <c r="A32" s="15"/>
      <c r="B32" s="15" t="s">
        <v>42</v>
      </c>
      <c r="C32" s="15" t="s">
        <v>43</v>
      </c>
      <c r="D32" s="15" t="s">
        <v>44</v>
      </c>
      <c r="E32" s="15" t="s">
        <v>45</v>
      </c>
    </row>
    <row r="33" spans="1:5" x14ac:dyDescent="0.3">
      <c r="A33" s="15"/>
      <c r="B33" s="15" t="s">
        <v>46</v>
      </c>
      <c r="C33" s="15"/>
      <c r="D33" s="15" t="s">
        <v>34</v>
      </c>
      <c r="E33" s="15" t="s">
        <v>35</v>
      </c>
    </row>
    <row r="34" spans="1:5" x14ac:dyDescent="0.3">
      <c r="A34" s="15"/>
      <c r="B34" s="15" t="s">
        <v>47</v>
      </c>
      <c r="C34" s="15" t="s">
        <v>48</v>
      </c>
      <c r="D34" s="15" t="s">
        <v>49</v>
      </c>
      <c r="E34" s="15" t="s">
        <v>50</v>
      </c>
    </row>
    <row r="35" spans="1:5" x14ac:dyDescent="0.3">
      <c r="A35" s="15"/>
      <c r="B35" s="15" t="s">
        <v>51</v>
      </c>
      <c r="C35" s="15"/>
      <c r="D35" s="15" t="s">
        <v>52</v>
      </c>
      <c r="E35" s="15" t="s">
        <v>28</v>
      </c>
    </row>
    <row r="37" spans="1:5" x14ac:dyDescent="0.3">
      <c r="A37" s="14" t="s">
        <v>53</v>
      </c>
      <c r="B37" s="14" t="s">
        <v>21</v>
      </c>
      <c r="C37" s="14" t="s">
        <v>22</v>
      </c>
      <c r="D37" s="14" t="s">
        <v>23</v>
      </c>
      <c r="E37" s="14" t="s">
        <v>24</v>
      </c>
    </row>
    <row r="38" spans="1:5" x14ac:dyDescent="0.3">
      <c r="A38" s="15"/>
      <c r="B38" s="15" t="s">
        <v>54</v>
      </c>
      <c r="C38" s="15"/>
      <c r="D38" s="15" t="s">
        <v>55</v>
      </c>
      <c r="E38" s="15" t="s">
        <v>35</v>
      </c>
    </row>
    <row r="39" spans="1:5" x14ac:dyDescent="0.3">
      <c r="A39" s="15"/>
      <c r="B39" s="15" t="s">
        <v>56</v>
      </c>
      <c r="C39" s="15" t="s">
        <v>57</v>
      </c>
      <c r="D39" s="15" t="s">
        <v>58</v>
      </c>
      <c r="E39" s="15" t="s">
        <v>39</v>
      </c>
    </row>
    <row r="40" spans="1:5" x14ac:dyDescent="0.3">
      <c r="A40" s="15"/>
      <c r="B40" s="15" t="s">
        <v>33</v>
      </c>
      <c r="C40" s="15"/>
      <c r="D40" s="15" t="s">
        <v>34</v>
      </c>
      <c r="E40" s="15" t="s">
        <v>35</v>
      </c>
    </row>
    <row r="41" spans="1:5" x14ac:dyDescent="0.3">
      <c r="A41" s="15"/>
      <c r="B41" s="15" t="s">
        <v>36</v>
      </c>
      <c r="C41" s="15" t="s">
        <v>59</v>
      </c>
      <c r="D41" s="15" t="s">
        <v>60</v>
      </c>
      <c r="E41" s="15" t="s">
        <v>39</v>
      </c>
    </row>
    <row r="42" spans="1:5" x14ac:dyDescent="0.3">
      <c r="A42" s="15"/>
      <c r="B42" s="15" t="s">
        <v>40</v>
      </c>
      <c r="C42" s="15"/>
      <c r="D42" s="15" t="s">
        <v>41</v>
      </c>
      <c r="E42" s="15" t="s">
        <v>32</v>
      </c>
    </row>
    <row r="43" spans="1:5" x14ac:dyDescent="0.3">
      <c r="A43" s="15"/>
      <c r="B43" s="15" t="s">
        <v>61</v>
      </c>
      <c r="C43" s="15" t="s">
        <v>62</v>
      </c>
      <c r="D43" s="15" t="s">
        <v>63</v>
      </c>
      <c r="E43" s="15" t="s">
        <v>32</v>
      </c>
    </row>
    <row r="44" spans="1:5" x14ac:dyDescent="0.3">
      <c r="A44" s="15"/>
      <c r="B44" s="15" t="s">
        <v>64</v>
      </c>
      <c r="C44" s="15" t="s">
        <v>65</v>
      </c>
      <c r="D44" s="15" t="s">
        <v>66</v>
      </c>
      <c r="E44" s="15" t="s">
        <v>32</v>
      </c>
    </row>
    <row r="45" spans="1:5" x14ac:dyDescent="0.3">
      <c r="A45" s="15"/>
      <c r="B45" s="15" t="s">
        <v>67</v>
      </c>
      <c r="C45" s="15"/>
      <c r="D45" s="15" t="s">
        <v>34</v>
      </c>
      <c r="E45" s="15" t="s">
        <v>35</v>
      </c>
    </row>
    <row r="46" spans="1:5" x14ac:dyDescent="0.3">
      <c r="A46" s="15"/>
      <c r="B46" s="15" t="s">
        <v>68</v>
      </c>
      <c r="C46" s="15" t="s">
        <v>69</v>
      </c>
      <c r="D46" s="15" t="s">
        <v>70</v>
      </c>
      <c r="E46" s="15" t="s">
        <v>71</v>
      </c>
    </row>
    <row r="47" spans="1:5" x14ac:dyDescent="0.3">
      <c r="A47" s="15"/>
      <c r="B47" s="15" t="s">
        <v>72</v>
      </c>
      <c r="C47" s="15" t="s">
        <v>73</v>
      </c>
      <c r="D47" s="15" t="s">
        <v>74</v>
      </c>
      <c r="E47" s="15" t="s">
        <v>71</v>
      </c>
    </row>
    <row r="48" spans="1:5" x14ac:dyDescent="0.3">
      <c r="A48" s="15"/>
      <c r="B48" s="15" t="s">
        <v>75</v>
      </c>
      <c r="C48" s="15"/>
      <c r="D48" s="15" t="s">
        <v>76</v>
      </c>
      <c r="E48" s="15" t="s">
        <v>35</v>
      </c>
    </row>
  </sheetData>
  <mergeCells count="2">
    <mergeCell ref="A1:E1"/>
    <mergeCell ref="A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49D39-0451-4CD4-AD19-B1E302485FA8}">
  <sheetPr>
    <tabColor rgb="FF1F4E79"/>
  </sheetPr>
  <dimension ref="A1:A27"/>
  <sheetViews>
    <sheetView topLeftCell="A10" workbookViewId="0"/>
  </sheetViews>
  <sheetFormatPr defaultRowHeight="14.4" x14ac:dyDescent="0.3"/>
  <cols>
    <col min="1" max="1" width="74.109375" customWidth="1"/>
  </cols>
  <sheetData>
    <row r="1" spans="1:1" ht="28.8" x14ac:dyDescent="0.55000000000000004">
      <c r="A1" s="16" t="s">
        <v>77</v>
      </c>
    </row>
    <row r="3" spans="1:1" ht="150" customHeight="1" x14ac:dyDescent="0.3">
      <c r="A3" s="17" t="s">
        <v>78</v>
      </c>
    </row>
    <row r="5" spans="1:1" ht="15.6" x14ac:dyDescent="0.3">
      <c r="A5" s="19" t="s">
        <v>79</v>
      </c>
    </row>
    <row r="6" spans="1:1" ht="23.4" x14ac:dyDescent="0.45">
      <c r="A6" s="20" t="s">
        <v>80</v>
      </c>
    </row>
    <row r="8" spans="1:1" ht="15.6" x14ac:dyDescent="0.3">
      <c r="A8" s="19" t="s">
        <v>81</v>
      </c>
    </row>
    <row r="9" spans="1:1" x14ac:dyDescent="0.3">
      <c r="A9" s="21" t="s">
        <v>82</v>
      </c>
    </row>
    <row r="11" spans="1:1" ht="15.6" x14ac:dyDescent="0.3">
      <c r="A11" s="19" t="s">
        <v>83</v>
      </c>
    </row>
    <row r="12" spans="1:1" x14ac:dyDescent="0.3">
      <c r="A12" t="s">
        <v>84</v>
      </c>
    </row>
    <row r="14" spans="1:1" ht="15.6" x14ac:dyDescent="0.3">
      <c r="A14" s="19" t="s">
        <v>85</v>
      </c>
    </row>
    <row r="15" spans="1:1" x14ac:dyDescent="0.3">
      <c r="A15" t="s">
        <v>86</v>
      </c>
    </row>
    <row r="16" spans="1:1" x14ac:dyDescent="0.3">
      <c r="A16" t="s">
        <v>87</v>
      </c>
    </row>
    <row r="17" spans="1:1" x14ac:dyDescent="0.3">
      <c r="A17" t="s">
        <v>88</v>
      </c>
    </row>
    <row r="18" spans="1:1" x14ac:dyDescent="0.3">
      <c r="A18" t="s">
        <v>89</v>
      </c>
    </row>
    <row r="19" spans="1:1" x14ac:dyDescent="0.3">
      <c r="A19" t="s">
        <v>90</v>
      </c>
    </row>
    <row r="20" spans="1:1" x14ac:dyDescent="0.3">
      <c r="A20" t="s">
        <v>91</v>
      </c>
    </row>
    <row r="22" spans="1:1" ht="15.6" x14ac:dyDescent="0.3">
      <c r="A22" s="19" t="s">
        <v>92</v>
      </c>
    </row>
    <row r="23" spans="1:1" x14ac:dyDescent="0.3">
      <c r="A23" t="s">
        <v>93</v>
      </c>
    </row>
    <row r="24" spans="1:1" x14ac:dyDescent="0.3">
      <c r="A24" t="s">
        <v>94</v>
      </c>
    </row>
    <row r="26" spans="1:1" ht="15.6" x14ac:dyDescent="0.3">
      <c r="A26" s="19" t="s">
        <v>95</v>
      </c>
    </row>
    <row r="27" spans="1:1" x14ac:dyDescent="0.3">
      <c r="A27"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E52F-9CAE-4D71-8B9C-09AA0E2BF554}">
  <sheetPr>
    <tabColor rgb="FF70AD47"/>
  </sheetPr>
  <dimension ref="A1:B118"/>
  <sheetViews>
    <sheetView topLeftCell="A39" workbookViewId="0"/>
  </sheetViews>
  <sheetFormatPr defaultRowHeight="14.4" x14ac:dyDescent="0.3"/>
  <cols>
    <col min="1" max="1" width="74.109375" customWidth="1"/>
    <col min="2" max="2" width="55.5546875" customWidth="1"/>
  </cols>
  <sheetData>
    <row r="1" spans="1:1" ht="23.4" x14ac:dyDescent="0.45">
      <c r="A1" s="22" t="s">
        <v>97</v>
      </c>
    </row>
    <row r="2" spans="1:1" x14ac:dyDescent="0.3">
      <c r="A2" s="23" t="s">
        <v>98</v>
      </c>
    </row>
    <row r="4" spans="1:1" x14ac:dyDescent="0.3">
      <c r="A4" s="18" t="s">
        <v>99</v>
      </c>
    </row>
    <row r="5" spans="1:1" x14ac:dyDescent="0.3">
      <c r="A5" t="s">
        <v>100</v>
      </c>
    </row>
    <row r="6" spans="1:1" x14ac:dyDescent="0.3">
      <c r="A6" t="s">
        <v>101</v>
      </c>
    </row>
    <row r="7" spans="1:1" x14ac:dyDescent="0.3">
      <c r="A7" t="s">
        <v>102</v>
      </c>
    </row>
    <row r="8" spans="1:1" x14ac:dyDescent="0.3">
      <c r="A8" t="s">
        <v>103</v>
      </c>
    </row>
    <row r="10" spans="1:1" x14ac:dyDescent="0.3">
      <c r="A10" s="18" t="s">
        <v>104</v>
      </c>
    </row>
    <row r="11" spans="1:1" x14ac:dyDescent="0.3">
      <c r="A11" t="s">
        <v>105</v>
      </c>
    </row>
    <row r="12" spans="1:1" x14ac:dyDescent="0.3">
      <c r="A12" t="s">
        <v>106</v>
      </c>
    </row>
    <row r="13" spans="1:1" x14ac:dyDescent="0.3">
      <c r="A13" t="s">
        <v>107</v>
      </c>
    </row>
    <row r="15" spans="1:1" x14ac:dyDescent="0.3">
      <c r="A15" s="18" t="s">
        <v>108</v>
      </c>
    </row>
    <row r="16" spans="1:1" x14ac:dyDescent="0.3">
      <c r="A16" t="s">
        <v>109</v>
      </c>
    </row>
    <row r="17" spans="1:2" x14ac:dyDescent="0.3">
      <c r="A17" t="s">
        <v>110</v>
      </c>
    </row>
    <row r="19" spans="1:2" x14ac:dyDescent="0.3">
      <c r="A19" t="s">
        <v>111</v>
      </c>
    </row>
    <row r="20" spans="1:2" x14ac:dyDescent="0.3">
      <c r="A20" t="s">
        <v>112</v>
      </c>
    </row>
    <row r="21" spans="1:2" x14ac:dyDescent="0.3">
      <c r="A21" t="s">
        <v>113</v>
      </c>
    </row>
    <row r="22" spans="1:2" x14ac:dyDescent="0.3">
      <c r="A22" t="s">
        <v>114</v>
      </c>
    </row>
    <row r="23" spans="1:2" x14ac:dyDescent="0.3">
      <c r="A23" t="s">
        <v>115</v>
      </c>
    </row>
    <row r="25" spans="1:2" x14ac:dyDescent="0.3">
      <c r="A25" s="18" t="s">
        <v>116</v>
      </c>
      <c r="B25" t="s">
        <v>117</v>
      </c>
    </row>
    <row r="26" spans="1:2" x14ac:dyDescent="0.3">
      <c r="A26" t="s">
        <v>118</v>
      </c>
      <c r="B26" t="s">
        <v>119</v>
      </c>
    </row>
    <row r="27" spans="1:2" x14ac:dyDescent="0.3">
      <c r="A27" t="s">
        <v>120</v>
      </c>
      <c r="B27" t="s">
        <v>121</v>
      </c>
    </row>
    <row r="28" spans="1:2" x14ac:dyDescent="0.3">
      <c r="A28" t="s">
        <v>122</v>
      </c>
      <c r="B28" t="s">
        <v>123</v>
      </c>
    </row>
    <row r="29" spans="1:2" x14ac:dyDescent="0.3">
      <c r="A29" t="s">
        <v>124</v>
      </c>
      <c r="B29" t="s">
        <v>125</v>
      </c>
    </row>
    <row r="30" spans="1:2" x14ac:dyDescent="0.3">
      <c r="A30" t="s">
        <v>126</v>
      </c>
      <c r="B30" t="s">
        <v>127</v>
      </c>
    </row>
    <row r="31" spans="1:2" x14ac:dyDescent="0.3">
      <c r="A31" t="s">
        <v>128</v>
      </c>
      <c r="B31" t="s">
        <v>129</v>
      </c>
    </row>
    <row r="32" spans="1:2" x14ac:dyDescent="0.3">
      <c r="A32" t="s">
        <v>130</v>
      </c>
      <c r="B32" t="s">
        <v>131</v>
      </c>
    </row>
    <row r="33" spans="1:2" x14ac:dyDescent="0.3">
      <c r="A33" t="s">
        <v>132</v>
      </c>
      <c r="B33" t="s">
        <v>133</v>
      </c>
    </row>
    <row r="34" spans="1:2" x14ac:dyDescent="0.3">
      <c r="A34" t="s">
        <v>134</v>
      </c>
      <c r="B34" t="s">
        <v>135</v>
      </c>
    </row>
    <row r="36" spans="1:2" x14ac:dyDescent="0.3">
      <c r="A36" t="s">
        <v>136</v>
      </c>
    </row>
    <row r="37" spans="1:2" x14ac:dyDescent="0.3">
      <c r="A37" s="18"/>
    </row>
    <row r="38" spans="1:2" x14ac:dyDescent="0.3">
      <c r="A38" t="s">
        <v>137</v>
      </c>
    </row>
    <row r="39" spans="1:2" x14ac:dyDescent="0.3">
      <c r="A39" s="18" t="s">
        <v>138</v>
      </c>
      <c r="B39" t="s">
        <v>139</v>
      </c>
    </row>
    <row r="40" spans="1:2" x14ac:dyDescent="0.3">
      <c r="A40" t="s">
        <v>140</v>
      </c>
      <c r="B40" t="s">
        <v>141</v>
      </c>
    </row>
    <row r="41" spans="1:2" x14ac:dyDescent="0.3">
      <c r="A41" t="s">
        <v>142</v>
      </c>
      <c r="B41" t="s">
        <v>143</v>
      </c>
    </row>
    <row r="42" spans="1:2" x14ac:dyDescent="0.3">
      <c r="A42" t="s">
        <v>144</v>
      </c>
      <c r="B42" t="s">
        <v>145</v>
      </c>
    </row>
    <row r="43" spans="1:2" x14ac:dyDescent="0.3">
      <c r="A43" t="s">
        <v>146</v>
      </c>
      <c r="B43" t="s">
        <v>147</v>
      </c>
    </row>
    <row r="44" spans="1:2" x14ac:dyDescent="0.3">
      <c r="A44" t="s">
        <v>148</v>
      </c>
      <c r="B44" t="s">
        <v>149</v>
      </c>
    </row>
    <row r="45" spans="1:2" x14ac:dyDescent="0.3">
      <c r="A45" t="s">
        <v>150</v>
      </c>
      <c r="B45" t="s">
        <v>151</v>
      </c>
    </row>
    <row r="46" spans="1:2" x14ac:dyDescent="0.3">
      <c r="A46" t="s">
        <v>152</v>
      </c>
      <c r="B46" t="s">
        <v>153</v>
      </c>
    </row>
    <row r="48" spans="1:2" x14ac:dyDescent="0.3">
      <c r="A48" t="s">
        <v>154</v>
      </c>
    </row>
    <row r="49" spans="1:2" x14ac:dyDescent="0.3">
      <c r="A49" t="s">
        <v>155</v>
      </c>
    </row>
    <row r="50" spans="1:2" x14ac:dyDescent="0.3">
      <c r="A50" t="s">
        <v>156</v>
      </c>
    </row>
    <row r="51" spans="1:2" x14ac:dyDescent="0.3">
      <c r="A51" s="18"/>
    </row>
    <row r="52" spans="1:2" x14ac:dyDescent="0.3">
      <c r="A52" t="s">
        <v>157</v>
      </c>
    </row>
    <row r="53" spans="1:2" x14ac:dyDescent="0.3">
      <c r="A53" t="s">
        <v>158</v>
      </c>
    </row>
    <row r="54" spans="1:2" x14ac:dyDescent="0.3">
      <c r="A54" t="s">
        <v>159</v>
      </c>
    </row>
    <row r="56" spans="1:2" x14ac:dyDescent="0.3">
      <c r="A56" s="18" t="s">
        <v>160</v>
      </c>
    </row>
    <row r="57" spans="1:2" x14ac:dyDescent="0.3">
      <c r="A57" t="s">
        <v>161</v>
      </c>
      <c r="B57" t="s">
        <v>162</v>
      </c>
    </row>
    <row r="58" spans="1:2" x14ac:dyDescent="0.3">
      <c r="A58" t="s">
        <v>163</v>
      </c>
      <c r="B58" t="s">
        <v>164</v>
      </c>
    </row>
    <row r="59" spans="1:2" x14ac:dyDescent="0.3">
      <c r="A59" t="s">
        <v>165</v>
      </c>
      <c r="B59" t="s">
        <v>166</v>
      </c>
    </row>
    <row r="60" spans="1:2" x14ac:dyDescent="0.3">
      <c r="A60" t="s">
        <v>167</v>
      </c>
      <c r="B60" t="s">
        <v>168</v>
      </c>
    </row>
    <row r="61" spans="1:2" x14ac:dyDescent="0.3">
      <c r="A61" t="s">
        <v>169</v>
      </c>
      <c r="B61" t="s">
        <v>170</v>
      </c>
    </row>
    <row r="62" spans="1:2" x14ac:dyDescent="0.3">
      <c r="A62" t="s">
        <v>171</v>
      </c>
      <c r="B62" t="s">
        <v>172</v>
      </c>
    </row>
    <row r="63" spans="1:2" x14ac:dyDescent="0.3">
      <c r="A63" t="s">
        <v>173</v>
      </c>
      <c r="B63" t="s">
        <v>174</v>
      </c>
    </row>
    <row r="64" spans="1:2" x14ac:dyDescent="0.3">
      <c r="A64" t="s">
        <v>175</v>
      </c>
      <c r="B64" t="s">
        <v>176</v>
      </c>
    </row>
    <row r="65" spans="1:2" x14ac:dyDescent="0.3">
      <c r="A65" t="s">
        <v>177</v>
      </c>
      <c r="B65" t="s">
        <v>178</v>
      </c>
    </row>
    <row r="66" spans="1:2" x14ac:dyDescent="0.3">
      <c r="A66" t="s">
        <v>179</v>
      </c>
      <c r="B66" t="s">
        <v>180</v>
      </c>
    </row>
    <row r="67" spans="1:2" x14ac:dyDescent="0.3">
      <c r="A67" t="s">
        <v>181</v>
      </c>
      <c r="B67" t="s">
        <v>182</v>
      </c>
    </row>
    <row r="68" spans="1:2" x14ac:dyDescent="0.3">
      <c r="A68" s="18" t="s">
        <v>183</v>
      </c>
      <c r="B68" t="s">
        <v>184</v>
      </c>
    </row>
    <row r="69" spans="1:2" x14ac:dyDescent="0.3">
      <c r="A69" t="s">
        <v>185</v>
      </c>
      <c r="B69" t="s">
        <v>186</v>
      </c>
    </row>
    <row r="70" spans="1:2" x14ac:dyDescent="0.3">
      <c r="A70" t="s">
        <v>138</v>
      </c>
      <c r="B70" t="s">
        <v>187</v>
      </c>
    </row>
    <row r="71" spans="1:2" x14ac:dyDescent="0.3">
      <c r="A71" t="s">
        <v>188</v>
      </c>
      <c r="B71" t="s">
        <v>189</v>
      </c>
    </row>
    <row r="73" spans="1:2" x14ac:dyDescent="0.3">
      <c r="A73" t="s">
        <v>190</v>
      </c>
    </row>
    <row r="74" spans="1:2" x14ac:dyDescent="0.3">
      <c r="A74" t="s">
        <v>191</v>
      </c>
    </row>
    <row r="75" spans="1:2" x14ac:dyDescent="0.3">
      <c r="A75" t="s">
        <v>192</v>
      </c>
    </row>
    <row r="76" spans="1:2" x14ac:dyDescent="0.3">
      <c r="A76" t="s">
        <v>193</v>
      </c>
    </row>
    <row r="77" spans="1:2" x14ac:dyDescent="0.3">
      <c r="A77" t="s">
        <v>194</v>
      </c>
    </row>
    <row r="78" spans="1:2" x14ac:dyDescent="0.3">
      <c r="A78" t="s">
        <v>195</v>
      </c>
    </row>
    <row r="79" spans="1:2" x14ac:dyDescent="0.3">
      <c r="A79" t="s">
        <v>196</v>
      </c>
    </row>
    <row r="80" spans="1:2" x14ac:dyDescent="0.3">
      <c r="A80" t="s">
        <v>197</v>
      </c>
    </row>
    <row r="81" spans="1:1" x14ac:dyDescent="0.3">
      <c r="A81" t="s">
        <v>198</v>
      </c>
    </row>
    <row r="82" spans="1:1" x14ac:dyDescent="0.3">
      <c r="A82" t="s">
        <v>199</v>
      </c>
    </row>
    <row r="84" spans="1:1" x14ac:dyDescent="0.3">
      <c r="A84" t="s">
        <v>200</v>
      </c>
    </row>
    <row r="85" spans="1:1" x14ac:dyDescent="0.3">
      <c r="A85" s="18" t="s">
        <v>201</v>
      </c>
    </row>
    <row r="86" spans="1:1" x14ac:dyDescent="0.3">
      <c r="A86" t="s">
        <v>202</v>
      </c>
    </row>
    <row r="87" spans="1:1" x14ac:dyDescent="0.3">
      <c r="A87" t="s">
        <v>203</v>
      </c>
    </row>
    <row r="88" spans="1:1" x14ac:dyDescent="0.3">
      <c r="A88" t="s">
        <v>204</v>
      </c>
    </row>
    <row r="90" spans="1:1" x14ac:dyDescent="0.3">
      <c r="A90" t="s">
        <v>205</v>
      </c>
    </row>
    <row r="92" spans="1:1" x14ac:dyDescent="0.3">
      <c r="A92" t="s">
        <v>206</v>
      </c>
    </row>
    <row r="93" spans="1:1" x14ac:dyDescent="0.3">
      <c r="A93" t="s">
        <v>207</v>
      </c>
    </row>
    <row r="94" spans="1:1" x14ac:dyDescent="0.3">
      <c r="A94" t="s">
        <v>208</v>
      </c>
    </row>
    <row r="95" spans="1:1" x14ac:dyDescent="0.3">
      <c r="A95" t="s">
        <v>209</v>
      </c>
    </row>
    <row r="96" spans="1:1" x14ac:dyDescent="0.3">
      <c r="A96" t="s">
        <v>210</v>
      </c>
    </row>
    <row r="97" spans="1:1" x14ac:dyDescent="0.3">
      <c r="A97" t="s">
        <v>211</v>
      </c>
    </row>
    <row r="99" spans="1:1" x14ac:dyDescent="0.3">
      <c r="A99" t="s">
        <v>212</v>
      </c>
    </row>
    <row r="100" spans="1:1" x14ac:dyDescent="0.3">
      <c r="A100" t="s">
        <v>213</v>
      </c>
    </row>
    <row r="101" spans="1:1" x14ac:dyDescent="0.3">
      <c r="A101" t="s">
        <v>214</v>
      </c>
    </row>
    <row r="102" spans="1:1" x14ac:dyDescent="0.3">
      <c r="A102" t="s">
        <v>215</v>
      </c>
    </row>
    <row r="103" spans="1:1" x14ac:dyDescent="0.3">
      <c r="A103" t="s">
        <v>216</v>
      </c>
    </row>
    <row r="104" spans="1:1" x14ac:dyDescent="0.3">
      <c r="A104" t="s">
        <v>211</v>
      </c>
    </row>
    <row r="106" spans="1:1" x14ac:dyDescent="0.3">
      <c r="A106" t="s">
        <v>217</v>
      </c>
    </row>
    <row r="107" spans="1:1" x14ac:dyDescent="0.3">
      <c r="A107" t="s">
        <v>218</v>
      </c>
    </row>
    <row r="108" spans="1:1" x14ac:dyDescent="0.3">
      <c r="A108" t="s">
        <v>219</v>
      </c>
    </row>
    <row r="109" spans="1:1" x14ac:dyDescent="0.3">
      <c r="A109" t="s">
        <v>220</v>
      </c>
    </row>
    <row r="110" spans="1:1" x14ac:dyDescent="0.3">
      <c r="A110" t="s">
        <v>221</v>
      </c>
    </row>
    <row r="111" spans="1:1" x14ac:dyDescent="0.3">
      <c r="A111" t="s">
        <v>211</v>
      </c>
    </row>
    <row r="113" spans="1:1" x14ac:dyDescent="0.3">
      <c r="A113" t="s">
        <v>222</v>
      </c>
    </row>
    <row r="114" spans="1:1" x14ac:dyDescent="0.3">
      <c r="A114" t="s">
        <v>223</v>
      </c>
    </row>
    <row r="115" spans="1:1" x14ac:dyDescent="0.3">
      <c r="A115" t="s">
        <v>224</v>
      </c>
    </row>
    <row r="116" spans="1:1" x14ac:dyDescent="0.3">
      <c r="A116" t="s">
        <v>225</v>
      </c>
    </row>
    <row r="117" spans="1:1" x14ac:dyDescent="0.3">
      <c r="A117" t="s">
        <v>226</v>
      </c>
    </row>
    <row r="118" spans="1:1" x14ac:dyDescent="0.3">
      <c r="A118"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325B4-E1DC-4713-A4C9-05059548FB66}">
  <sheetPr>
    <tabColor rgb="FF70AD47"/>
  </sheetPr>
  <dimension ref="A1:A109"/>
  <sheetViews>
    <sheetView workbookViewId="0"/>
  </sheetViews>
  <sheetFormatPr defaultRowHeight="14.4" x14ac:dyDescent="0.3"/>
  <cols>
    <col min="1" max="1" width="92.5546875" customWidth="1"/>
  </cols>
  <sheetData>
    <row r="1" spans="1:1" ht="23.4" x14ac:dyDescent="0.45">
      <c r="A1" s="22"/>
    </row>
    <row r="2" spans="1:1" x14ac:dyDescent="0.3">
      <c r="A2" s="23"/>
    </row>
    <row r="4" spans="1:1" x14ac:dyDescent="0.3">
      <c r="A4" s="18"/>
    </row>
    <row r="10" spans="1:1" x14ac:dyDescent="0.3">
      <c r="A10" s="18"/>
    </row>
    <row r="14" spans="1:1" x14ac:dyDescent="0.3">
      <c r="A14" s="18"/>
    </row>
    <row r="21" spans="1:1" x14ac:dyDescent="0.3">
      <c r="A21" s="18"/>
    </row>
    <row r="38" spans="1:1" x14ac:dyDescent="0.3">
      <c r="A38" s="18"/>
    </row>
    <row r="46" spans="1:1" x14ac:dyDescent="0.3">
      <c r="A46" s="18"/>
    </row>
    <row r="68" spans="1:1" x14ac:dyDescent="0.3">
      <c r="A68" s="18"/>
    </row>
    <row r="78" spans="1:1" x14ac:dyDescent="0.3">
      <c r="A78" s="18"/>
    </row>
    <row r="84" spans="1:1" x14ac:dyDescent="0.3">
      <c r="A84" s="18"/>
    </row>
    <row r="93" spans="1:1" x14ac:dyDescent="0.3">
      <c r="A93" s="18"/>
    </row>
    <row r="102" spans="1:1" x14ac:dyDescent="0.3">
      <c r="A102" s="18"/>
    </row>
    <row r="109" spans="1:1" x14ac:dyDescent="0.3">
      <c r="A109"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1764B-7712-40D9-9D9F-6342E29BDCFF}">
  <sheetPr>
    <tabColor rgb="FF70AD47"/>
  </sheetPr>
  <dimension ref="A1:F70"/>
  <sheetViews>
    <sheetView topLeftCell="A54" workbookViewId="0"/>
  </sheetViews>
  <sheetFormatPr defaultRowHeight="14.4" x14ac:dyDescent="0.3"/>
  <cols>
    <col min="1" max="1" width="83.33203125" customWidth="1"/>
    <col min="2" max="2" width="27.77734375" customWidth="1"/>
    <col min="3" max="3" width="18.5546875" customWidth="1"/>
    <col min="4" max="4" width="14.77734375" customWidth="1"/>
    <col min="5" max="5" width="22.21875" customWidth="1"/>
    <col min="6" max="6" width="14.77734375" customWidth="1"/>
  </cols>
  <sheetData>
    <row r="1" spans="1:1" ht="23.4" x14ac:dyDescent="0.45">
      <c r="A1" s="22" t="s">
        <v>765</v>
      </c>
    </row>
    <row r="2" spans="1:1" x14ac:dyDescent="0.3">
      <c r="A2" t="s">
        <v>766</v>
      </c>
    </row>
    <row r="4" spans="1:1" x14ac:dyDescent="0.3">
      <c r="A4" t="s">
        <v>99</v>
      </c>
    </row>
    <row r="5" spans="1:1" x14ac:dyDescent="0.3">
      <c r="A5" t="s">
        <v>767</v>
      </c>
    </row>
    <row r="6" spans="1:1" x14ac:dyDescent="0.3">
      <c r="A6" t="s">
        <v>768</v>
      </c>
    </row>
    <row r="7" spans="1:1" x14ac:dyDescent="0.3">
      <c r="A7" t="s">
        <v>769</v>
      </c>
    </row>
    <row r="8" spans="1:1" x14ac:dyDescent="0.3">
      <c r="A8" t="s">
        <v>770</v>
      </c>
    </row>
    <row r="10" spans="1:1" x14ac:dyDescent="0.3">
      <c r="A10" t="s">
        <v>771</v>
      </c>
    </row>
    <row r="12" spans="1:1" x14ac:dyDescent="0.3">
      <c r="A12" t="s">
        <v>772</v>
      </c>
    </row>
    <row r="13" spans="1:1" x14ac:dyDescent="0.3">
      <c r="A13" t="s">
        <v>773</v>
      </c>
    </row>
    <row r="14" spans="1:1" x14ac:dyDescent="0.3">
      <c r="A14" t="s">
        <v>774</v>
      </c>
    </row>
    <row r="16" spans="1:1" x14ac:dyDescent="0.3">
      <c r="A16" t="s">
        <v>775</v>
      </c>
    </row>
    <row r="17" spans="1:1" x14ac:dyDescent="0.3">
      <c r="A17" t="s">
        <v>776</v>
      </c>
    </row>
    <row r="18" spans="1:1" x14ac:dyDescent="0.3">
      <c r="A18" t="s">
        <v>777</v>
      </c>
    </row>
    <row r="19" spans="1:1" x14ac:dyDescent="0.3">
      <c r="A19" t="s">
        <v>778</v>
      </c>
    </row>
    <row r="20" spans="1:1" x14ac:dyDescent="0.3">
      <c r="A20" t="s">
        <v>779</v>
      </c>
    </row>
    <row r="22" spans="1:1" x14ac:dyDescent="0.3">
      <c r="A22" t="s">
        <v>780</v>
      </c>
    </row>
    <row r="23" spans="1:1" x14ac:dyDescent="0.3">
      <c r="A23" t="s">
        <v>781</v>
      </c>
    </row>
    <row r="24" spans="1:1" x14ac:dyDescent="0.3">
      <c r="A24" t="s">
        <v>782</v>
      </c>
    </row>
    <row r="25" spans="1:1" x14ac:dyDescent="0.3">
      <c r="A25" t="s">
        <v>783</v>
      </c>
    </row>
    <row r="26" spans="1:1" x14ac:dyDescent="0.3">
      <c r="A26" t="s">
        <v>784</v>
      </c>
    </row>
    <row r="27" spans="1:1" x14ac:dyDescent="0.3">
      <c r="A27" t="s">
        <v>785</v>
      </c>
    </row>
    <row r="29" spans="1:1" x14ac:dyDescent="0.3">
      <c r="A29" t="s">
        <v>786</v>
      </c>
    </row>
    <row r="30" spans="1:1" x14ac:dyDescent="0.3">
      <c r="A30" t="s">
        <v>787</v>
      </c>
    </row>
    <row r="31" spans="1:1" x14ac:dyDescent="0.3">
      <c r="A31" t="s">
        <v>788</v>
      </c>
    </row>
    <row r="33" spans="1:6" x14ac:dyDescent="0.3">
      <c r="A33" t="s">
        <v>789</v>
      </c>
    </row>
    <row r="34" spans="1:6" x14ac:dyDescent="0.3">
      <c r="A34" t="s">
        <v>790</v>
      </c>
    </row>
    <row r="35" spans="1:6" x14ac:dyDescent="0.3">
      <c r="A35" t="s">
        <v>791</v>
      </c>
    </row>
    <row r="36" spans="1:6" x14ac:dyDescent="0.3">
      <c r="A36" t="s">
        <v>792</v>
      </c>
    </row>
    <row r="37" spans="1:6" x14ac:dyDescent="0.3">
      <c r="A37" t="s">
        <v>793</v>
      </c>
    </row>
    <row r="38" spans="1:6" x14ac:dyDescent="0.3">
      <c r="A38" t="s">
        <v>794</v>
      </c>
    </row>
    <row r="39" spans="1:6" x14ac:dyDescent="0.3">
      <c r="A39" t="s">
        <v>795</v>
      </c>
    </row>
    <row r="45" spans="1:6" ht="18" x14ac:dyDescent="0.35">
      <c r="A45" s="32" t="s">
        <v>796</v>
      </c>
    </row>
    <row r="46" spans="1:6" x14ac:dyDescent="0.3">
      <c r="A46" t="s">
        <v>797</v>
      </c>
    </row>
    <row r="48" spans="1:6" x14ac:dyDescent="0.3">
      <c r="A48" t="s">
        <v>798</v>
      </c>
      <c r="B48" t="s">
        <v>799</v>
      </c>
      <c r="C48" t="s">
        <v>800</v>
      </c>
      <c r="D48" t="s">
        <v>801</v>
      </c>
      <c r="E48" t="s">
        <v>802</v>
      </c>
      <c r="F48" t="s">
        <v>803</v>
      </c>
    </row>
    <row r="49" spans="1:6" x14ac:dyDescent="0.3">
      <c r="A49" t="s">
        <v>804</v>
      </c>
      <c r="B49" t="s">
        <v>805</v>
      </c>
      <c r="C49" t="s">
        <v>806</v>
      </c>
      <c r="D49">
        <v>5500</v>
      </c>
      <c r="E49" t="s">
        <v>807</v>
      </c>
      <c r="F49" t="s">
        <v>808</v>
      </c>
    </row>
    <row r="50" spans="1:6" x14ac:dyDescent="0.3">
      <c r="A50" t="s">
        <v>809</v>
      </c>
      <c r="B50" t="s">
        <v>810</v>
      </c>
      <c r="C50" t="s">
        <v>811</v>
      </c>
      <c r="D50">
        <v>4200</v>
      </c>
      <c r="E50" s="30">
        <v>44348</v>
      </c>
      <c r="F50" t="s">
        <v>812</v>
      </c>
    </row>
    <row r="51" spans="1:6" x14ac:dyDescent="0.3">
      <c r="A51" t="s">
        <v>813</v>
      </c>
      <c r="B51" t="s">
        <v>814</v>
      </c>
      <c r="C51" t="s">
        <v>815</v>
      </c>
      <c r="D51">
        <v>6500</v>
      </c>
      <c r="E51" s="31">
        <v>43534</v>
      </c>
      <c r="F51" t="s">
        <v>243</v>
      </c>
    </row>
    <row r="52" spans="1:6" x14ac:dyDescent="0.3">
      <c r="A52" t="s">
        <v>816</v>
      </c>
      <c r="B52" t="s">
        <v>817</v>
      </c>
      <c r="C52" t="s">
        <v>818</v>
      </c>
      <c r="D52">
        <v>4800</v>
      </c>
      <c r="E52" s="31">
        <v>44562</v>
      </c>
      <c r="F52" t="s">
        <v>808</v>
      </c>
    </row>
    <row r="53" spans="1:6" x14ac:dyDescent="0.3">
      <c r="A53" t="s">
        <v>819</v>
      </c>
      <c r="B53" t="s">
        <v>820</v>
      </c>
      <c r="C53" t="s">
        <v>821</v>
      </c>
      <c r="D53">
        <v>5200</v>
      </c>
      <c r="E53" s="30">
        <v>44058</v>
      </c>
      <c r="F53" t="s">
        <v>822</v>
      </c>
    </row>
    <row r="54" spans="1:6" x14ac:dyDescent="0.3">
      <c r="A54" t="s">
        <v>823</v>
      </c>
      <c r="B54" t="s">
        <v>824</v>
      </c>
      <c r="C54" t="s">
        <v>286</v>
      </c>
      <c r="D54">
        <v>4500</v>
      </c>
      <c r="E54" s="31">
        <v>44384</v>
      </c>
      <c r="F54" t="s">
        <v>243</v>
      </c>
    </row>
    <row r="55" spans="1:6" x14ac:dyDescent="0.3">
      <c r="A55" t="s">
        <v>825</v>
      </c>
      <c r="B55" t="s">
        <v>826</v>
      </c>
      <c r="C55" t="s">
        <v>827</v>
      </c>
      <c r="D55">
        <v>3800</v>
      </c>
      <c r="E55" t="s">
        <v>828</v>
      </c>
      <c r="F55" t="s">
        <v>812</v>
      </c>
    </row>
    <row r="56" spans="1:6" x14ac:dyDescent="0.3">
      <c r="A56" t="s">
        <v>829</v>
      </c>
      <c r="B56" t="s">
        <v>830</v>
      </c>
      <c r="C56" t="s">
        <v>831</v>
      </c>
      <c r="D56">
        <v>7200</v>
      </c>
      <c r="E56" s="30">
        <v>43424</v>
      </c>
      <c r="F56" t="s">
        <v>808</v>
      </c>
    </row>
    <row r="60" spans="1:6" x14ac:dyDescent="0.3">
      <c r="A60" s="18" t="s">
        <v>832</v>
      </c>
    </row>
    <row r="61" spans="1:6" x14ac:dyDescent="0.3">
      <c r="A61" t="s">
        <v>833</v>
      </c>
    </row>
    <row r="62" spans="1:6" x14ac:dyDescent="0.3">
      <c r="A62" t="s">
        <v>834</v>
      </c>
    </row>
    <row r="63" spans="1:6" x14ac:dyDescent="0.3">
      <c r="A63" t="s">
        <v>835</v>
      </c>
    </row>
    <row r="64" spans="1:6" x14ac:dyDescent="0.3">
      <c r="A64" t="s">
        <v>836</v>
      </c>
    </row>
    <row r="65" spans="1:1" x14ac:dyDescent="0.3">
      <c r="A65" t="s">
        <v>837</v>
      </c>
    </row>
    <row r="66" spans="1:1" x14ac:dyDescent="0.3">
      <c r="A66" t="s">
        <v>838</v>
      </c>
    </row>
    <row r="67" spans="1:1" x14ac:dyDescent="0.3">
      <c r="A67" t="s">
        <v>839</v>
      </c>
    </row>
    <row r="68" spans="1:1" x14ac:dyDescent="0.3">
      <c r="A68" t="s">
        <v>840</v>
      </c>
    </row>
    <row r="69" spans="1:1" x14ac:dyDescent="0.3">
      <c r="A69" t="s">
        <v>841</v>
      </c>
    </row>
    <row r="70" spans="1:1" x14ac:dyDescent="0.3">
      <c r="A70" t="s">
        <v>842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51A9D-3D79-4D39-B543-D9C47695B8F1}">
  <sheetPr>
    <tabColor rgb="FF70AD47"/>
  </sheetPr>
  <dimension ref="A1:I29"/>
  <sheetViews>
    <sheetView topLeftCell="A6" workbookViewId="0"/>
  </sheetViews>
  <sheetFormatPr defaultRowHeight="14.4" x14ac:dyDescent="0.3"/>
  <cols>
    <col min="1" max="1" width="92.5546875" customWidth="1"/>
    <col min="5" max="5" width="22.21875" customWidth="1"/>
    <col min="6" max="6" width="18.5546875" customWidth="1"/>
    <col min="7" max="7" width="20.33203125" customWidth="1"/>
    <col min="8" max="8" width="27.77734375" customWidth="1"/>
    <col min="9" max="9" width="18.5546875" customWidth="1"/>
  </cols>
  <sheetData>
    <row r="1" spans="1:9" ht="23.4" x14ac:dyDescent="0.45">
      <c r="A1" s="22"/>
      <c r="E1" s="33" t="s">
        <v>843</v>
      </c>
    </row>
    <row r="3" spans="1:9" x14ac:dyDescent="0.3">
      <c r="E3" s="4" t="s">
        <v>844</v>
      </c>
      <c r="F3" s="4" t="s">
        <v>845</v>
      </c>
      <c r="G3" s="4" t="s">
        <v>846</v>
      </c>
      <c r="I3" t="s">
        <v>881</v>
      </c>
    </row>
    <row r="4" spans="1:9" x14ac:dyDescent="0.3">
      <c r="E4" t="s">
        <v>847</v>
      </c>
      <c r="F4" s="24">
        <v>45000</v>
      </c>
      <c r="G4" s="24">
        <v>32000</v>
      </c>
      <c r="I4" s="24">
        <f>SUM(F4:F15)</f>
        <v>733000</v>
      </c>
    </row>
    <row r="5" spans="1:9" x14ac:dyDescent="0.3">
      <c r="E5" t="s">
        <v>848</v>
      </c>
      <c r="F5" s="24">
        <v>52000</v>
      </c>
      <c r="G5" s="24">
        <v>35000</v>
      </c>
      <c r="I5" s="24">
        <f>SUM(G4:G15)</f>
        <v>506000</v>
      </c>
    </row>
    <row r="6" spans="1:9" x14ac:dyDescent="0.3">
      <c r="E6" t="s">
        <v>849</v>
      </c>
      <c r="F6" s="24">
        <v>48000</v>
      </c>
      <c r="G6" s="24">
        <v>31000</v>
      </c>
      <c r="I6" s="24">
        <f>AVERAGE(F4:F15)</f>
        <v>61083.333333333336</v>
      </c>
    </row>
    <row r="7" spans="1:9" x14ac:dyDescent="0.3">
      <c r="E7" t="s">
        <v>850</v>
      </c>
      <c r="F7" s="24">
        <v>55000</v>
      </c>
      <c r="G7" s="24">
        <v>38000</v>
      </c>
      <c r="I7" s="24">
        <f>MAX(F4:F15)</f>
        <v>85000</v>
      </c>
    </row>
    <row r="8" spans="1:9" x14ac:dyDescent="0.3">
      <c r="E8" t="s">
        <v>851</v>
      </c>
      <c r="F8" s="24">
        <v>61000</v>
      </c>
      <c r="G8" s="24">
        <v>42000</v>
      </c>
      <c r="I8" s="24">
        <f>MIN(F4:F15)</f>
        <v>45000</v>
      </c>
    </row>
    <row r="9" spans="1:9" x14ac:dyDescent="0.3">
      <c r="E9" t="s">
        <v>852</v>
      </c>
      <c r="F9" s="24">
        <v>58000</v>
      </c>
      <c r="G9" s="24">
        <v>40000</v>
      </c>
      <c r="I9" s="24">
        <f>COUNT(F4:F15)</f>
        <v>12</v>
      </c>
    </row>
    <row r="10" spans="1:9" x14ac:dyDescent="0.3">
      <c r="E10" t="s">
        <v>853</v>
      </c>
      <c r="F10" s="24">
        <v>63000</v>
      </c>
      <c r="G10" s="24">
        <v>45000</v>
      </c>
      <c r="I10" s="24">
        <f>SUM(F4:F15)-SUM(G4:G15)</f>
        <v>227000</v>
      </c>
    </row>
    <row r="11" spans="1:9" x14ac:dyDescent="0.3">
      <c r="E11" t="s">
        <v>854</v>
      </c>
      <c r="F11" s="24">
        <v>59000</v>
      </c>
      <c r="G11" s="24">
        <v>41000</v>
      </c>
      <c r="I11" s="24">
        <f>ROUND(AVERAGE(F4:F15)/AVERAGE(G4:G15)*100,1)</f>
        <v>144.9</v>
      </c>
    </row>
    <row r="12" spans="1:9" x14ac:dyDescent="0.3">
      <c r="E12" t="s">
        <v>855</v>
      </c>
      <c r="F12" s="24">
        <v>67000</v>
      </c>
      <c r="G12" s="24">
        <v>48000</v>
      </c>
      <c r="I12">
        <f ca="1">TODAY()</f>
        <v>46167</v>
      </c>
    </row>
    <row r="13" spans="1:9" x14ac:dyDescent="0.3">
      <c r="E13" t="s">
        <v>856</v>
      </c>
      <c r="F13" s="24">
        <v>72000</v>
      </c>
      <c r="G13" s="24">
        <v>52000</v>
      </c>
    </row>
    <row r="14" spans="1:9" x14ac:dyDescent="0.3">
      <c r="E14" t="s">
        <v>857</v>
      </c>
      <c r="F14" s="24">
        <v>68000</v>
      </c>
      <c r="G14" s="24">
        <v>47000</v>
      </c>
    </row>
    <row r="15" spans="1:9" x14ac:dyDescent="0.3">
      <c r="E15" t="s">
        <v>858</v>
      </c>
      <c r="F15" s="24">
        <v>85000</v>
      </c>
      <c r="G15" s="24">
        <v>55000</v>
      </c>
    </row>
    <row r="18" spans="5:7" x14ac:dyDescent="0.3">
      <c r="E18" s="34" t="s">
        <v>859</v>
      </c>
    </row>
    <row r="20" spans="5:7" x14ac:dyDescent="0.3">
      <c r="E20" s="35" t="s">
        <v>860</v>
      </c>
      <c r="F20" s="35" t="s">
        <v>861</v>
      </c>
      <c r="G20" s="35" t="s">
        <v>862</v>
      </c>
    </row>
    <row r="21" spans="5:7" x14ac:dyDescent="0.3">
      <c r="E21" t="s">
        <v>863</v>
      </c>
      <c r="F21" t="s">
        <v>864</v>
      </c>
      <c r="G21">
        <f>SUM(F4:F15)</f>
        <v>733000</v>
      </c>
    </row>
    <row r="22" spans="5:7" x14ac:dyDescent="0.3">
      <c r="E22" t="s">
        <v>865</v>
      </c>
      <c r="F22" t="s">
        <v>866</v>
      </c>
      <c r="G22">
        <f>SUM(G4:G15)</f>
        <v>506000</v>
      </c>
    </row>
    <row r="23" spans="5:7" x14ac:dyDescent="0.3">
      <c r="E23" t="s">
        <v>867</v>
      </c>
      <c r="F23" t="s">
        <v>868</v>
      </c>
      <c r="G23">
        <f>AVERAGE(F4:F15)</f>
        <v>61083.333333333336</v>
      </c>
    </row>
    <row r="24" spans="5:7" x14ac:dyDescent="0.3">
      <c r="E24" t="s">
        <v>869</v>
      </c>
      <c r="F24" t="s">
        <v>870</v>
      </c>
      <c r="G24">
        <f>MAX(F4:F15)</f>
        <v>85000</v>
      </c>
    </row>
    <row r="25" spans="5:7" x14ac:dyDescent="0.3">
      <c r="E25" t="s">
        <v>871</v>
      </c>
      <c r="F25" t="s">
        <v>872</v>
      </c>
      <c r="G25">
        <f>MIN(F4:F15)</f>
        <v>45000</v>
      </c>
    </row>
    <row r="26" spans="5:7" x14ac:dyDescent="0.3">
      <c r="E26" t="s">
        <v>873</v>
      </c>
      <c r="F26" t="s">
        <v>874</v>
      </c>
      <c r="G26">
        <f>COUNT(F4:F15)</f>
        <v>12</v>
      </c>
    </row>
    <row r="27" spans="5:7" x14ac:dyDescent="0.3">
      <c r="E27" t="s">
        <v>875</v>
      </c>
      <c r="F27" t="s">
        <v>876</v>
      </c>
      <c r="G27">
        <f>SUM(F4:F15)-SUM(G4:G15)</f>
        <v>227000</v>
      </c>
    </row>
    <row r="28" spans="5:7" x14ac:dyDescent="0.3">
      <c r="E28" t="s">
        <v>877</v>
      </c>
      <c r="F28" t="s">
        <v>878</v>
      </c>
      <c r="G28" cm="1">
        <f t="array" ref="G28">AVERAGE(F4:F15-G4:G15)</f>
        <v>18916.666666666668</v>
      </c>
    </row>
    <row r="29" spans="5:7" x14ac:dyDescent="0.3">
      <c r="E29" t="s">
        <v>879</v>
      </c>
      <c r="F29" t="s">
        <v>880</v>
      </c>
      <c r="G29" s="30">
        <f ca="1">TODAY()</f>
        <v>46167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882D-3010-405B-9CB4-A2B4651D6E4E}">
  <sheetPr>
    <tabColor rgb="FF4472C4"/>
  </sheetPr>
  <dimension ref="A1:J34"/>
  <sheetViews>
    <sheetView workbookViewId="0"/>
  </sheetViews>
  <sheetFormatPr defaultRowHeight="14.4" x14ac:dyDescent="0.3"/>
  <cols>
    <col min="1" max="1" width="92.5546875" customWidth="1"/>
    <col min="5" max="5" width="16.6640625" customWidth="1"/>
    <col min="6" max="6" width="25.88671875" customWidth="1"/>
    <col min="7" max="7" width="16.6640625" customWidth="1"/>
    <col min="8" max="9" width="18.5546875" customWidth="1"/>
    <col min="10" max="10" width="14.77734375" customWidth="1"/>
  </cols>
  <sheetData>
    <row r="1" spans="1:10" ht="23.4" x14ac:dyDescent="0.45">
      <c r="A1" s="22"/>
      <c r="E1" s="36" t="s">
        <v>882</v>
      </c>
    </row>
    <row r="2" spans="1:10" x14ac:dyDescent="0.3">
      <c r="E2" t="s">
        <v>883</v>
      </c>
    </row>
    <row r="4" spans="1:10" x14ac:dyDescent="0.3">
      <c r="E4" s="4" t="s">
        <v>227</v>
      </c>
      <c r="F4" s="4" t="s">
        <v>884</v>
      </c>
      <c r="G4" s="4" t="s">
        <v>229</v>
      </c>
      <c r="H4" s="4" t="s">
        <v>885</v>
      </c>
      <c r="I4" s="4" t="s">
        <v>886</v>
      </c>
      <c r="J4" s="4" t="s">
        <v>887</v>
      </c>
    </row>
    <row r="5" spans="1:10" x14ac:dyDescent="0.3">
      <c r="E5" t="s">
        <v>888</v>
      </c>
      <c r="F5" t="s">
        <v>889</v>
      </c>
      <c r="G5" t="s">
        <v>274</v>
      </c>
      <c r="H5" s="24">
        <v>50000</v>
      </c>
      <c r="I5" s="24">
        <v>58000</v>
      </c>
      <c r="J5">
        <v>116</v>
      </c>
    </row>
    <row r="6" spans="1:10" x14ac:dyDescent="0.3">
      <c r="E6" t="s">
        <v>890</v>
      </c>
      <c r="F6" t="s">
        <v>891</v>
      </c>
      <c r="G6" t="s">
        <v>274</v>
      </c>
      <c r="H6" s="24">
        <v>50000</v>
      </c>
      <c r="I6" s="24">
        <v>42000</v>
      </c>
      <c r="J6">
        <v>84</v>
      </c>
    </row>
    <row r="7" spans="1:10" x14ac:dyDescent="0.3">
      <c r="E7" t="s">
        <v>813</v>
      </c>
      <c r="F7" t="s">
        <v>892</v>
      </c>
      <c r="G7" t="s">
        <v>274</v>
      </c>
      <c r="H7" s="24">
        <v>45000</v>
      </c>
      <c r="I7" s="24">
        <v>48000</v>
      </c>
      <c r="J7">
        <v>107</v>
      </c>
    </row>
    <row r="8" spans="1:10" x14ac:dyDescent="0.3">
      <c r="E8" t="s">
        <v>893</v>
      </c>
      <c r="F8" t="s">
        <v>894</v>
      </c>
      <c r="G8" t="s">
        <v>274</v>
      </c>
      <c r="H8" s="24">
        <v>55000</v>
      </c>
      <c r="I8" s="24">
        <v>52000</v>
      </c>
      <c r="J8">
        <v>95</v>
      </c>
    </row>
    <row r="9" spans="1:10" x14ac:dyDescent="0.3">
      <c r="E9" t="s">
        <v>819</v>
      </c>
      <c r="F9" t="s">
        <v>895</v>
      </c>
      <c r="G9" t="s">
        <v>274</v>
      </c>
      <c r="H9" s="24">
        <v>50000</v>
      </c>
      <c r="I9" s="24">
        <v>61000</v>
      </c>
      <c r="J9">
        <v>122</v>
      </c>
    </row>
    <row r="10" spans="1:10" x14ac:dyDescent="0.3">
      <c r="E10" t="s">
        <v>896</v>
      </c>
      <c r="F10" t="s">
        <v>431</v>
      </c>
      <c r="G10" t="s">
        <v>246</v>
      </c>
      <c r="H10" s="24">
        <v>40000</v>
      </c>
      <c r="I10" s="24">
        <v>39000</v>
      </c>
      <c r="J10">
        <v>98</v>
      </c>
    </row>
    <row r="11" spans="1:10" x14ac:dyDescent="0.3">
      <c r="E11" t="s">
        <v>897</v>
      </c>
      <c r="F11" t="s">
        <v>898</v>
      </c>
      <c r="G11" t="s">
        <v>246</v>
      </c>
      <c r="H11" s="24">
        <v>40000</v>
      </c>
      <c r="I11" s="24">
        <v>45000</v>
      </c>
      <c r="J11">
        <v>113</v>
      </c>
    </row>
    <row r="12" spans="1:10" x14ac:dyDescent="0.3">
      <c r="E12" t="s">
        <v>829</v>
      </c>
      <c r="F12" t="s">
        <v>899</v>
      </c>
      <c r="G12" t="s">
        <v>246</v>
      </c>
      <c r="H12" s="24">
        <v>45000</v>
      </c>
      <c r="I12" s="24">
        <v>38000</v>
      </c>
      <c r="J12">
        <v>84</v>
      </c>
    </row>
    <row r="13" spans="1:10" x14ac:dyDescent="0.3">
      <c r="E13" t="s">
        <v>900</v>
      </c>
      <c r="F13" t="s">
        <v>901</v>
      </c>
      <c r="G13" t="s">
        <v>274</v>
      </c>
      <c r="H13" s="24">
        <v>50000</v>
      </c>
      <c r="I13" s="24">
        <v>55000</v>
      </c>
      <c r="J13">
        <v>110</v>
      </c>
    </row>
    <row r="14" spans="1:10" x14ac:dyDescent="0.3">
      <c r="E14" t="s">
        <v>902</v>
      </c>
      <c r="F14" t="s">
        <v>903</v>
      </c>
      <c r="G14" t="s">
        <v>274</v>
      </c>
      <c r="H14" s="24">
        <v>55000</v>
      </c>
      <c r="I14" s="24">
        <v>49000</v>
      </c>
      <c r="J14">
        <v>89</v>
      </c>
    </row>
    <row r="15" spans="1:10" x14ac:dyDescent="0.3">
      <c r="E15" t="s">
        <v>904</v>
      </c>
      <c r="F15" t="s">
        <v>905</v>
      </c>
      <c r="G15" t="s">
        <v>246</v>
      </c>
      <c r="H15" s="24">
        <v>35000</v>
      </c>
      <c r="I15" s="24">
        <v>41000</v>
      </c>
      <c r="J15">
        <v>117</v>
      </c>
    </row>
    <row r="16" spans="1:10" x14ac:dyDescent="0.3">
      <c r="E16" t="s">
        <v>906</v>
      </c>
      <c r="F16" t="s">
        <v>907</v>
      </c>
      <c r="G16" t="s">
        <v>274</v>
      </c>
      <c r="H16" s="24">
        <v>50000</v>
      </c>
      <c r="I16" s="24">
        <v>53000</v>
      </c>
      <c r="J16">
        <v>106</v>
      </c>
    </row>
    <row r="17" spans="5:10" x14ac:dyDescent="0.3">
      <c r="E17" t="s">
        <v>908</v>
      </c>
      <c r="F17" t="s">
        <v>619</v>
      </c>
      <c r="G17" t="s">
        <v>246</v>
      </c>
      <c r="H17" s="24">
        <v>40000</v>
      </c>
      <c r="I17" s="24">
        <v>36000</v>
      </c>
      <c r="J17">
        <v>90</v>
      </c>
    </row>
    <row r="18" spans="5:10" x14ac:dyDescent="0.3">
      <c r="E18" t="s">
        <v>909</v>
      </c>
      <c r="F18" t="s">
        <v>910</v>
      </c>
      <c r="G18" t="s">
        <v>274</v>
      </c>
      <c r="H18" s="24">
        <v>45000</v>
      </c>
      <c r="I18" s="24">
        <v>47000</v>
      </c>
      <c r="J18">
        <v>104</v>
      </c>
    </row>
    <row r="19" spans="5:10" x14ac:dyDescent="0.3">
      <c r="E19" t="s">
        <v>911</v>
      </c>
      <c r="F19" t="s">
        <v>912</v>
      </c>
      <c r="G19" t="s">
        <v>246</v>
      </c>
      <c r="H19" s="24">
        <v>35000</v>
      </c>
      <c r="I19" s="24">
        <v>42000</v>
      </c>
      <c r="J19">
        <v>120</v>
      </c>
    </row>
    <row r="22" spans="5:10" x14ac:dyDescent="0.3">
      <c r="E22" s="34" t="s">
        <v>913</v>
      </c>
    </row>
    <row r="24" spans="5:10" x14ac:dyDescent="0.3">
      <c r="E24" s="35" t="s">
        <v>860</v>
      </c>
      <c r="F24" s="35" t="s">
        <v>126</v>
      </c>
      <c r="G24" s="35" t="s">
        <v>914</v>
      </c>
      <c r="H24" s="35" t="s">
        <v>915</v>
      </c>
    </row>
    <row r="25" spans="5:10" x14ac:dyDescent="0.3">
      <c r="E25" t="s">
        <v>916</v>
      </c>
      <c r="F25" t="s">
        <v>917</v>
      </c>
      <c r="G25" t="str">
        <f>IF(J5&gt;=100,"Achieved","Not Achieved")</f>
        <v>Achieved</v>
      </c>
      <c r="H25" t="s">
        <v>918</v>
      </c>
    </row>
    <row r="26" spans="5:10" x14ac:dyDescent="0.3">
      <c r="E26" t="s">
        <v>919</v>
      </c>
      <c r="F26" t="s">
        <v>920</v>
      </c>
      <c r="G26" t="str">
        <f>IF(J5&gt;=110,"Yes","No")</f>
        <v>Yes</v>
      </c>
      <c r="H26" t="s">
        <v>921</v>
      </c>
    </row>
    <row r="27" spans="5:10" x14ac:dyDescent="0.3">
      <c r="E27" t="s">
        <v>922</v>
      </c>
      <c r="F27" t="s">
        <v>923</v>
      </c>
      <c r="G27">
        <f>COUNTIF(G5:G19,"Sales")</f>
        <v>9</v>
      </c>
      <c r="H27">
        <v>9</v>
      </c>
    </row>
    <row r="28" spans="5:10" x14ac:dyDescent="0.3">
      <c r="E28" t="s">
        <v>924</v>
      </c>
      <c r="F28" t="s">
        <v>925</v>
      </c>
      <c r="G28">
        <f>COUNTIF(J5:J19,"&gt;=100")</f>
        <v>9</v>
      </c>
      <c r="H28" t="s">
        <v>926</v>
      </c>
    </row>
    <row r="29" spans="5:10" x14ac:dyDescent="0.3">
      <c r="E29" t="s">
        <v>927</v>
      </c>
      <c r="F29" t="s">
        <v>928</v>
      </c>
      <c r="G29">
        <f>SUMIF(G5:G19,"Sales",I5:I19)</f>
        <v>465000</v>
      </c>
      <c r="H29" t="s">
        <v>929</v>
      </c>
    </row>
    <row r="30" spans="5:10" x14ac:dyDescent="0.3">
      <c r="E30" t="s">
        <v>930</v>
      </c>
      <c r="F30" t="s">
        <v>931</v>
      </c>
      <c r="G30">
        <f>AVERAGEIF(G5:G19,"Marketing",J5:J19)</f>
        <v>103.66666666666667</v>
      </c>
      <c r="H30" t="s">
        <v>932</v>
      </c>
    </row>
    <row r="31" spans="5:10" x14ac:dyDescent="0.3">
      <c r="E31" t="s">
        <v>933</v>
      </c>
      <c r="F31" t="s">
        <v>934</v>
      </c>
      <c r="G31" t="str">
        <f>LEFT(E5,3)</f>
        <v>EMP</v>
      </c>
      <c r="H31" t="s">
        <v>935</v>
      </c>
    </row>
    <row r="32" spans="5:10" x14ac:dyDescent="0.3">
      <c r="E32" t="s">
        <v>936</v>
      </c>
      <c r="F32" t="s">
        <v>937</v>
      </c>
      <c r="G32" t="str">
        <f>_xlfn.CONCAT(F5," scored ",J5,"%")</f>
        <v>Ahmad Abdullah scored 116%</v>
      </c>
      <c r="H32" t="s">
        <v>938</v>
      </c>
    </row>
    <row r="33" spans="5:8" x14ac:dyDescent="0.3">
      <c r="E33" t="s">
        <v>939</v>
      </c>
      <c r="F33" t="s">
        <v>940</v>
      </c>
      <c r="G33" t="str">
        <f>IF(J5&gt;=110,"A",IF(J5&gt;=100,"B",IF(J5&gt;=90,"C","D")))</f>
        <v>A</v>
      </c>
      <c r="H33" t="s">
        <v>941</v>
      </c>
    </row>
    <row r="34" spans="5:8" x14ac:dyDescent="0.3">
      <c r="E34" t="s">
        <v>942</v>
      </c>
      <c r="F34" t="s">
        <v>943</v>
      </c>
      <c r="G34">
        <f>IFERROR(I5/H5,0)</f>
        <v>1.1599999999999999</v>
      </c>
      <c r="H34" t="s">
        <v>944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A4F9-FA3A-47B3-A248-08953E251513}">
  <sheetPr>
    <tabColor rgb="FF4472C4"/>
  </sheetPr>
  <dimension ref="A1:I34"/>
  <sheetViews>
    <sheetView topLeftCell="A24" workbookViewId="0"/>
  </sheetViews>
  <sheetFormatPr defaultRowHeight="14.4" x14ac:dyDescent="0.3"/>
  <cols>
    <col min="1" max="1" width="92.5546875" customWidth="1"/>
    <col min="5" max="5" width="22.21875" customWidth="1"/>
    <col min="6" max="6" width="51.88671875" customWidth="1"/>
    <col min="7" max="7" width="59.21875" customWidth="1"/>
    <col min="8" max="8" width="27.77734375" customWidth="1"/>
    <col min="9" max="9" width="14.77734375" customWidth="1"/>
  </cols>
  <sheetData>
    <row r="1" spans="1:9" ht="23.4" x14ac:dyDescent="0.45">
      <c r="A1" s="22"/>
      <c r="E1" s="36" t="s">
        <v>945</v>
      </c>
    </row>
    <row r="3" spans="1:9" x14ac:dyDescent="0.3">
      <c r="E3" s="18" t="s">
        <v>946</v>
      </c>
    </row>
    <row r="4" spans="1:9" x14ac:dyDescent="0.3">
      <c r="E4" s="4" t="s">
        <v>227</v>
      </c>
      <c r="F4" s="4" t="s">
        <v>884</v>
      </c>
      <c r="G4" s="4" t="s">
        <v>229</v>
      </c>
      <c r="H4" s="4" t="s">
        <v>230</v>
      </c>
      <c r="I4" s="4" t="s">
        <v>231</v>
      </c>
    </row>
    <row r="5" spans="1:9" x14ac:dyDescent="0.3">
      <c r="E5" t="s">
        <v>888</v>
      </c>
      <c r="F5" t="s">
        <v>889</v>
      </c>
      <c r="G5" t="s">
        <v>238</v>
      </c>
      <c r="H5" t="s">
        <v>947</v>
      </c>
      <c r="I5" s="24">
        <v>8500</v>
      </c>
    </row>
    <row r="6" spans="1:9" x14ac:dyDescent="0.3">
      <c r="E6" t="s">
        <v>890</v>
      </c>
      <c r="F6" t="s">
        <v>891</v>
      </c>
      <c r="G6" t="s">
        <v>253</v>
      </c>
      <c r="H6" t="s">
        <v>948</v>
      </c>
      <c r="I6" s="24">
        <v>5200</v>
      </c>
    </row>
    <row r="7" spans="1:9" x14ac:dyDescent="0.3">
      <c r="E7" t="s">
        <v>813</v>
      </c>
      <c r="F7" t="s">
        <v>892</v>
      </c>
      <c r="G7" t="s">
        <v>267</v>
      </c>
      <c r="H7" t="s">
        <v>949</v>
      </c>
      <c r="I7" s="24">
        <v>6800</v>
      </c>
    </row>
    <row r="8" spans="1:9" x14ac:dyDescent="0.3">
      <c r="E8" t="s">
        <v>893</v>
      </c>
      <c r="F8" t="s">
        <v>894</v>
      </c>
      <c r="G8" t="s">
        <v>246</v>
      </c>
      <c r="H8" t="s">
        <v>293</v>
      </c>
      <c r="I8" s="24">
        <v>4900</v>
      </c>
    </row>
    <row r="9" spans="1:9" x14ac:dyDescent="0.3">
      <c r="E9" t="s">
        <v>819</v>
      </c>
      <c r="F9" t="s">
        <v>895</v>
      </c>
      <c r="G9" t="s">
        <v>274</v>
      </c>
      <c r="H9" t="s">
        <v>947</v>
      </c>
      <c r="I9" s="24">
        <v>8200</v>
      </c>
    </row>
    <row r="10" spans="1:9" x14ac:dyDescent="0.3">
      <c r="E10" t="s">
        <v>896</v>
      </c>
      <c r="F10" t="s">
        <v>431</v>
      </c>
      <c r="G10" t="s">
        <v>286</v>
      </c>
      <c r="H10" t="s">
        <v>329</v>
      </c>
      <c r="I10" s="24">
        <v>5500</v>
      </c>
    </row>
    <row r="11" spans="1:9" x14ac:dyDescent="0.3">
      <c r="E11" t="s">
        <v>897</v>
      </c>
      <c r="F11" t="s">
        <v>898</v>
      </c>
      <c r="G11" t="s">
        <v>305</v>
      </c>
      <c r="H11" t="s">
        <v>317</v>
      </c>
      <c r="I11" s="24">
        <v>4200</v>
      </c>
    </row>
    <row r="12" spans="1:9" x14ac:dyDescent="0.3">
      <c r="E12" t="s">
        <v>829</v>
      </c>
      <c r="F12" t="s">
        <v>899</v>
      </c>
      <c r="G12" t="s">
        <v>260</v>
      </c>
      <c r="H12" t="s">
        <v>261</v>
      </c>
      <c r="I12" s="24">
        <v>7500</v>
      </c>
    </row>
    <row r="13" spans="1:9" x14ac:dyDescent="0.3">
      <c r="E13" t="s">
        <v>900</v>
      </c>
      <c r="F13" t="s">
        <v>901</v>
      </c>
      <c r="G13" t="s">
        <v>238</v>
      </c>
      <c r="H13" t="s">
        <v>950</v>
      </c>
      <c r="I13" s="24">
        <v>6200</v>
      </c>
    </row>
    <row r="14" spans="1:9" x14ac:dyDescent="0.3">
      <c r="E14" t="s">
        <v>902</v>
      </c>
      <c r="F14" t="s">
        <v>903</v>
      </c>
      <c r="G14" t="s">
        <v>267</v>
      </c>
      <c r="H14" t="s">
        <v>951</v>
      </c>
      <c r="I14" s="24">
        <v>4800</v>
      </c>
    </row>
    <row r="17" spans="5:8" x14ac:dyDescent="0.3">
      <c r="E17" s="18" t="s">
        <v>952</v>
      </c>
    </row>
    <row r="18" spans="5:8" x14ac:dyDescent="0.3">
      <c r="E18" t="s">
        <v>953</v>
      </c>
      <c r="F18" s="37" t="s">
        <v>888</v>
      </c>
    </row>
    <row r="20" spans="5:8" x14ac:dyDescent="0.3">
      <c r="E20" s="35" t="s">
        <v>954</v>
      </c>
      <c r="F20" s="35" t="s">
        <v>955</v>
      </c>
      <c r="G20" s="35" t="s">
        <v>956</v>
      </c>
      <c r="H20" s="35" t="s">
        <v>957</v>
      </c>
    </row>
    <row r="21" spans="5:8" x14ac:dyDescent="0.3">
      <c r="E21" t="s">
        <v>228</v>
      </c>
      <c r="F21" t="str">
        <f>VLOOKUP($F$18,$E$5:$I$14,2,FALSE)</f>
        <v>Ahmad Abdullah</v>
      </c>
      <c r="G21" t="str">
        <f>_xlfn.XLOOKUP($F$18,$E$5:$E$14,$F$5:$F$14,"Not Found")</f>
        <v>Ahmad Abdullah</v>
      </c>
      <c r="H21" t="str">
        <f>_xlfn.XLOOKUP($F$18,$E$5:$E$14,$F$5:$F$14,"Not Found")</f>
        <v>Ahmad Abdullah</v>
      </c>
    </row>
    <row r="22" spans="5:8" x14ac:dyDescent="0.3">
      <c r="E22" t="s">
        <v>229</v>
      </c>
      <c r="F22" t="str">
        <f>VLOOKUP($F$18,$E$5:$I$14,3,FALSE)</f>
        <v>Finance</v>
      </c>
      <c r="G22" t="str">
        <f>_xlfn.XLOOKUP($F$18,$E$5:$E$14,$G$5:$G$14,"Not Found")</f>
        <v>Finance</v>
      </c>
      <c r="H22" t="str">
        <f>_xlfn.XLOOKUP($F$18,$E$5:$E$14,$G$5:$G$14,"Not Found")</f>
        <v>Finance</v>
      </c>
    </row>
    <row r="23" spans="5:8" x14ac:dyDescent="0.3">
      <c r="E23" t="s">
        <v>230</v>
      </c>
      <c r="F23" t="str">
        <f>VLOOKUP($F$18,$E$5:$I$14,4,FALSE)</f>
        <v>Manager</v>
      </c>
      <c r="G23" t="str">
        <f>_xlfn.XLOOKUP($F$18,$E$5:$E$14,$H$5:$H$14,"Not Found")</f>
        <v>Manager</v>
      </c>
      <c r="H23" t="str">
        <f>_xlfn.XLOOKUP($F$18,$E$5:$E$14,$H$5:$H$14,"Not Found")</f>
        <v>Manager</v>
      </c>
    </row>
    <row r="24" spans="5:8" x14ac:dyDescent="0.3">
      <c r="E24" t="s">
        <v>231</v>
      </c>
      <c r="F24">
        <f>VLOOKUP($F$18,$E$5:$I$14,5,FALSE)</f>
        <v>8500</v>
      </c>
      <c r="G24">
        <f>_xlfn.XLOOKUP($F$18,$E$5:$E$14,$I$5:$I$14,"Not Found")</f>
        <v>8500</v>
      </c>
      <c r="H24">
        <f>_xlfn.XLOOKUP($F$18,$E$5:$E$14,$I$5:$I$14,"Not Found")</f>
        <v>8500</v>
      </c>
    </row>
    <row r="28" spans="5:8" x14ac:dyDescent="0.3">
      <c r="E28" s="34" t="s">
        <v>958</v>
      </c>
    </row>
    <row r="29" spans="5:8" x14ac:dyDescent="0.3">
      <c r="E29" t="s">
        <v>959</v>
      </c>
    </row>
    <row r="30" spans="5:8" x14ac:dyDescent="0.3">
      <c r="E30" t="s">
        <v>960</v>
      </c>
    </row>
    <row r="31" spans="5:8" x14ac:dyDescent="0.3">
      <c r="E31" t="s">
        <v>961</v>
      </c>
    </row>
    <row r="32" spans="5:8" x14ac:dyDescent="0.3">
      <c r="E32" t="s">
        <v>962</v>
      </c>
    </row>
    <row r="33" spans="5:5" x14ac:dyDescent="0.3">
      <c r="E33" t="s">
        <v>963</v>
      </c>
    </row>
    <row r="34" spans="5:5" x14ac:dyDescent="0.3">
      <c r="E34" t="s">
        <v>964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C5EE-C517-4B0E-BB3C-7E02F04BC87B}">
  <sheetPr>
    <tabColor rgb="FF4472C4"/>
  </sheetPr>
  <dimension ref="A1:I43"/>
  <sheetViews>
    <sheetView workbookViewId="0"/>
  </sheetViews>
  <sheetFormatPr defaultRowHeight="14.4" x14ac:dyDescent="0.3"/>
  <cols>
    <col min="1" max="1" width="92.5546875" customWidth="1"/>
  </cols>
  <sheetData>
    <row r="1" spans="1:9" ht="23.4" x14ac:dyDescent="0.45">
      <c r="A1" s="22"/>
      <c r="E1" t="s">
        <v>965</v>
      </c>
    </row>
    <row r="2" spans="1:9" x14ac:dyDescent="0.3">
      <c r="E2" t="s">
        <v>966</v>
      </c>
    </row>
    <row r="4" spans="1:9" x14ac:dyDescent="0.3">
      <c r="E4" t="s">
        <v>967</v>
      </c>
      <c r="F4" t="s">
        <v>968</v>
      </c>
      <c r="G4" t="s">
        <v>969</v>
      </c>
      <c r="H4" t="s">
        <v>970</v>
      </c>
      <c r="I4" t="s">
        <v>971</v>
      </c>
    </row>
    <row r="5" spans="1:9" x14ac:dyDescent="0.3">
      <c r="E5" t="s">
        <v>972</v>
      </c>
      <c r="F5" t="s">
        <v>973</v>
      </c>
      <c r="G5" t="s">
        <v>974</v>
      </c>
      <c r="H5" s="24">
        <v>5</v>
      </c>
      <c r="I5" s="24">
        <v>25000</v>
      </c>
    </row>
    <row r="6" spans="1:9" x14ac:dyDescent="0.3">
      <c r="E6" t="s">
        <v>975</v>
      </c>
      <c r="F6" t="s">
        <v>976</v>
      </c>
      <c r="G6" t="s">
        <v>977</v>
      </c>
      <c r="H6" s="24">
        <v>10</v>
      </c>
      <c r="I6" s="24">
        <v>8000</v>
      </c>
    </row>
    <row r="7" spans="1:9" x14ac:dyDescent="0.3">
      <c r="E7" t="s">
        <v>978</v>
      </c>
      <c r="F7" t="s">
        <v>973</v>
      </c>
      <c r="G7" t="s">
        <v>979</v>
      </c>
      <c r="H7" s="24">
        <v>20</v>
      </c>
      <c r="I7" s="24">
        <v>2000</v>
      </c>
    </row>
    <row r="8" spans="1:9" x14ac:dyDescent="0.3">
      <c r="E8" t="s">
        <v>980</v>
      </c>
      <c r="F8" t="s">
        <v>981</v>
      </c>
      <c r="G8" t="s">
        <v>982</v>
      </c>
      <c r="H8" s="24">
        <v>50</v>
      </c>
      <c r="I8" s="24">
        <v>2500</v>
      </c>
    </row>
    <row r="9" spans="1:9" x14ac:dyDescent="0.3">
      <c r="E9" t="s">
        <v>983</v>
      </c>
      <c r="F9" t="s">
        <v>984</v>
      </c>
      <c r="G9" t="s">
        <v>974</v>
      </c>
      <c r="H9" s="24">
        <v>3</v>
      </c>
      <c r="I9" s="24">
        <v>15000</v>
      </c>
    </row>
    <row r="10" spans="1:9" x14ac:dyDescent="0.3">
      <c r="E10" t="s">
        <v>985</v>
      </c>
      <c r="F10" t="s">
        <v>976</v>
      </c>
      <c r="G10" t="s">
        <v>986</v>
      </c>
      <c r="H10" s="24">
        <v>2</v>
      </c>
      <c r="I10" s="24">
        <v>3000</v>
      </c>
    </row>
    <row r="11" spans="1:9" x14ac:dyDescent="0.3">
      <c r="E11" t="s">
        <v>987</v>
      </c>
      <c r="F11" t="s">
        <v>973</v>
      </c>
      <c r="G11" t="s">
        <v>977</v>
      </c>
      <c r="H11" s="24">
        <v>8</v>
      </c>
      <c r="I11" s="24">
        <v>6400</v>
      </c>
    </row>
    <row r="12" spans="1:9" x14ac:dyDescent="0.3">
      <c r="E12" t="s">
        <v>988</v>
      </c>
      <c r="F12" t="s">
        <v>981</v>
      </c>
      <c r="G12" t="s">
        <v>974</v>
      </c>
      <c r="H12" s="24">
        <v>4</v>
      </c>
      <c r="I12" s="24">
        <v>20000</v>
      </c>
    </row>
    <row r="13" spans="1:9" x14ac:dyDescent="0.3">
      <c r="E13" t="s">
        <v>989</v>
      </c>
      <c r="F13" t="s">
        <v>990</v>
      </c>
      <c r="G13" t="s">
        <v>979</v>
      </c>
      <c r="H13" s="24">
        <v>30</v>
      </c>
      <c r="I13" s="24">
        <v>3000</v>
      </c>
    </row>
    <row r="14" spans="1:9" x14ac:dyDescent="0.3">
      <c r="E14" t="s">
        <v>991</v>
      </c>
      <c r="F14" t="s">
        <v>984</v>
      </c>
      <c r="G14" t="s">
        <v>982</v>
      </c>
      <c r="H14" s="24">
        <v>100</v>
      </c>
      <c r="I14" s="24">
        <v>5000</v>
      </c>
    </row>
    <row r="15" spans="1:9" x14ac:dyDescent="0.3">
      <c r="E15" t="s">
        <v>992</v>
      </c>
      <c r="F15" t="s">
        <v>976</v>
      </c>
      <c r="G15" t="s">
        <v>974</v>
      </c>
      <c r="H15" s="24">
        <v>2</v>
      </c>
      <c r="I15" s="24">
        <v>10000</v>
      </c>
    </row>
    <row r="16" spans="1:9" x14ac:dyDescent="0.3">
      <c r="E16" t="s">
        <v>993</v>
      </c>
      <c r="F16" t="s">
        <v>973</v>
      </c>
      <c r="G16" t="s">
        <v>986</v>
      </c>
      <c r="H16" s="24">
        <v>5</v>
      </c>
      <c r="I16" s="24">
        <v>7500</v>
      </c>
    </row>
    <row r="17" spans="5:9" x14ac:dyDescent="0.3">
      <c r="E17" t="s">
        <v>994</v>
      </c>
      <c r="F17" t="s">
        <v>990</v>
      </c>
      <c r="G17" t="s">
        <v>977</v>
      </c>
      <c r="H17" s="24">
        <v>15</v>
      </c>
      <c r="I17" s="24">
        <v>12000</v>
      </c>
    </row>
    <row r="18" spans="5:9" x14ac:dyDescent="0.3">
      <c r="E18" t="s">
        <v>995</v>
      </c>
      <c r="F18" t="s">
        <v>981</v>
      </c>
      <c r="G18" t="s">
        <v>979</v>
      </c>
      <c r="H18" s="24">
        <v>25</v>
      </c>
      <c r="I18" s="24">
        <v>2500</v>
      </c>
    </row>
    <row r="19" spans="5:9" x14ac:dyDescent="0.3">
      <c r="E19" t="s">
        <v>996</v>
      </c>
      <c r="F19" t="s">
        <v>984</v>
      </c>
      <c r="G19" t="s">
        <v>986</v>
      </c>
      <c r="H19" s="24">
        <v>3</v>
      </c>
      <c r="I19" s="24">
        <v>4500</v>
      </c>
    </row>
    <row r="20" spans="5:9" x14ac:dyDescent="0.3">
      <c r="E20" t="s">
        <v>972</v>
      </c>
      <c r="F20" t="s">
        <v>973</v>
      </c>
      <c r="G20" t="s">
        <v>974</v>
      </c>
      <c r="H20" s="24">
        <v>5</v>
      </c>
      <c r="I20" s="24">
        <v>25000</v>
      </c>
    </row>
    <row r="21" spans="5:9" x14ac:dyDescent="0.3">
      <c r="E21" t="s">
        <v>997</v>
      </c>
      <c r="F21" t="s">
        <v>976</v>
      </c>
      <c r="G21" t="s">
        <v>982</v>
      </c>
      <c r="H21" s="24">
        <v>40</v>
      </c>
      <c r="I21" s="24">
        <v>2000</v>
      </c>
    </row>
    <row r="22" spans="5:9" x14ac:dyDescent="0.3">
      <c r="E22" t="s">
        <v>998</v>
      </c>
      <c r="F22" t="s">
        <v>990</v>
      </c>
      <c r="G22" t="s">
        <v>974</v>
      </c>
      <c r="H22" s="24">
        <v>6</v>
      </c>
      <c r="I22" s="24">
        <v>30000</v>
      </c>
    </row>
    <row r="23" spans="5:9" x14ac:dyDescent="0.3">
      <c r="E23" t="s">
        <v>999</v>
      </c>
      <c r="F23" t="s">
        <v>973</v>
      </c>
      <c r="G23" t="s">
        <v>977</v>
      </c>
      <c r="H23" s="24">
        <v>12</v>
      </c>
      <c r="I23" s="24">
        <v>9600</v>
      </c>
    </row>
    <row r="24" spans="5:9" x14ac:dyDescent="0.3">
      <c r="E24" t="s">
        <v>1000</v>
      </c>
      <c r="F24" t="s">
        <v>981</v>
      </c>
      <c r="G24" t="s">
        <v>986</v>
      </c>
      <c r="H24" s="24">
        <v>4</v>
      </c>
      <c r="I24" s="24">
        <v>6000</v>
      </c>
    </row>
    <row r="25" spans="5:9" x14ac:dyDescent="0.3">
      <c r="E25" t="s">
        <v>1001</v>
      </c>
      <c r="F25" t="s">
        <v>984</v>
      </c>
      <c r="G25" t="s">
        <v>979</v>
      </c>
      <c r="H25" s="24">
        <v>35</v>
      </c>
      <c r="I25" s="24">
        <v>3500</v>
      </c>
    </row>
    <row r="26" spans="5:9" x14ac:dyDescent="0.3">
      <c r="E26" t="s">
        <v>975</v>
      </c>
      <c r="F26" t="s">
        <v>976</v>
      </c>
      <c r="G26" t="s">
        <v>977</v>
      </c>
      <c r="H26" s="24">
        <v>10</v>
      </c>
      <c r="I26" s="24">
        <v>8000</v>
      </c>
    </row>
    <row r="27" spans="5:9" x14ac:dyDescent="0.3">
      <c r="E27" t="s">
        <v>1002</v>
      </c>
      <c r="F27" t="s">
        <v>990</v>
      </c>
      <c r="G27" t="s">
        <v>982</v>
      </c>
      <c r="H27" s="24">
        <v>60</v>
      </c>
      <c r="I27" s="24">
        <v>3000</v>
      </c>
    </row>
    <row r="28" spans="5:9" x14ac:dyDescent="0.3">
      <c r="E28" t="s">
        <v>1003</v>
      </c>
      <c r="F28" t="s">
        <v>973</v>
      </c>
      <c r="G28" t="s">
        <v>974</v>
      </c>
      <c r="H28" s="24">
        <v>7</v>
      </c>
      <c r="I28" s="24">
        <v>35000</v>
      </c>
    </row>
    <row r="29" spans="5:9" x14ac:dyDescent="0.3">
      <c r="E29" t="s">
        <v>1004</v>
      </c>
      <c r="F29" t="s">
        <v>981</v>
      </c>
      <c r="G29" t="s">
        <v>977</v>
      </c>
      <c r="H29" s="24">
        <v>9</v>
      </c>
      <c r="I29" s="24">
        <v>7200</v>
      </c>
    </row>
    <row r="32" spans="5:9" x14ac:dyDescent="0.3">
      <c r="E32" s="34" t="s">
        <v>913</v>
      </c>
    </row>
    <row r="34" spans="5:5" x14ac:dyDescent="0.3">
      <c r="E34" t="s">
        <v>1005</v>
      </c>
    </row>
    <row r="35" spans="5:5" x14ac:dyDescent="0.3">
      <c r="E35" t="s">
        <v>1006</v>
      </c>
    </row>
    <row r="36" spans="5:5" x14ac:dyDescent="0.3">
      <c r="E36" t="s">
        <v>1007</v>
      </c>
    </row>
    <row r="37" spans="5:5" x14ac:dyDescent="0.3">
      <c r="E37" t="s">
        <v>1008</v>
      </c>
    </row>
    <row r="38" spans="5:5" x14ac:dyDescent="0.3">
      <c r="E38" t="s">
        <v>1009</v>
      </c>
    </row>
    <row r="39" spans="5:5" x14ac:dyDescent="0.3">
      <c r="E39" t="s">
        <v>1010</v>
      </c>
    </row>
    <row r="40" spans="5:5" x14ac:dyDescent="0.3">
      <c r="E40" t="s">
        <v>1011</v>
      </c>
    </row>
    <row r="41" spans="5:5" x14ac:dyDescent="0.3">
      <c r="E41" t="s">
        <v>1012</v>
      </c>
    </row>
    <row r="42" spans="5:5" x14ac:dyDescent="0.3">
      <c r="E42" t="s">
        <v>1013</v>
      </c>
    </row>
    <row r="43" spans="5:5" x14ac:dyDescent="0.3">
      <c r="E43" t="s">
        <v>1014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D80CF-8892-4494-8239-3131EBD8E657}">
  <sheetPr>
    <tabColor rgb="FF4472C4"/>
  </sheetPr>
  <dimension ref="A1:E19"/>
  <sheetViews>
    <sheetView workbookViewId="0"/>
  </sheetViews>
  <sheetFormatPr defaultRowHeight="14.4" x14ac:dyDescent="0.3"/>
  <cols>
    <col min="1" max="1" width="92.5546875" customWidth="1"/>
    <col min="5" max="5" width="83.33203125" customWidth="1"/>
  </cols>
  <sheetData>
    <row r="1" spans="1:5" ht="23.4" x14ac:dyDescent="0.45">
      <c r="A1" s="22"/>
      <c r="E1" s="36" t="s">
        <v>1118</v>
      </c>
    </row>
    <row r="2" spans="1:5" x14ac:dyDescent="0.3">
      <c r="E2" t="s">
        <v>1119</v>
      </c>
    </row>
    <row r="4" spans="1:5" x14ac:dyDescent="0.3">
      <c r="E4" s="18" t="s">
        <v>1120</v>
      </c>
    </row>
    <row r="5" spans="1:5" x14ac:dyDescent="0.3">
      <c r="E5" t="s">
        <v>1121</v>
      </c>
    </row>
    <row r="6" spans="1:5" x14ac:dyDescent="0.3">
      <c r="E6" t="s">
        <v>1122</v>
      </c>
    </row>
    <row r="7" spans="1:5" x14ac:dyDescent="0.3">
      <c r="E7" t="s">
        <v>1123</v>
      </c>
    </row>
    <row r="9" spans="1:5" x14ac:dyDescent="0.3">
      <c r="E9" s="18" t="s">
        <v>1124</v>
      </c>
    </row>
    <row r="10" spans="1:5" x14ac:dyDescent="0.3">
      <c r="E10" t="s">
        <v>1125</v>
      </c>
    </row>
    <row r="12" spans="1:5" x14ac:dyDescent="0.3">
      <c r="E12" s="18" t="s">
        <v>1126</v>
      </c>
    </row>
    <row r="13" spans="1:5" x14ac:dyDescent="0.3">
      <c r="E13" t="s">
        <v>1127</v>
      </c>
    </row>
    <row r="15" spans="1:5" x14ac:dyDescent="0.3">
      <c r="E15" s="18" t="s">
        <v>1128</v>
      </c>
    </row>
    <row r="16" spans="1:5" x14ac:dyDescent="0.3">
      <c r="E16" t="s">
        <v>1129</v>
      </c>
    </row>
    <row r="18" spans="5:5" x14ac:dyDescent="0.3">
      <c r="E18" s="18" t="s">
        <v>1130</v>
      </c>
    </row>
    <row r="19" spans="5:5" x14ac:dyDescent="0.3">
      <c r="E19" t="s">
        <v>1131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FD7C5-4ED5-4DF5-BFD4-D252286B39BD}">
  <sheetPr>
    <tabColor rgb="FF4472C4"/>
  </sheetPr>
  <dimension ref="A1:G50"/>
  <sheetViews>
    <sheetView workbookViewId="0"/>
  </sheetViews>
  <sheetFormatPr defaultRowHeight="14.4" x14ac:dyDescent="0.3"/>
  <cols>
    <col min="1" max="1" width="83.33203125" customWidth="1"/>
  </cols>
  <sheetData>
    <row r="1" spans="1:6" ht="23.4" x14ac:dyDescent="0.45">
      <c r="A1" s="22"/>
      <c r="E1" t="s">
        <v>1132</v>
      </c>
    </row>
    <row r="3" spans="1:6" x14ac:dyDescent="0.3">
      <c r="E3" t="s">
        <v>1133</v>
      </c>
    </row>
    <row r="4" spans="1:6" x14ac:dyDescent="0.3">
      <c r="E4" t="s">
        <v>1016</v>
      </c>
      <c r="F4" t="s">
        <v>845</v>
      </c>
    </row>
    <row r="5" spans="1:6" x14ac:dyDescent="0.3">
      <c r="E5" t="s">
        <v>1020</v>
      </c>
      <c r="F5">
        <v>125000</v>
      </c>
    </row>
    <row r="6" spans="1:6" x14ac:dyDescent="0.3">
      <c r="E6" t="s">
        <v>1049</v>
      </c>
      <c r="F6">
        <v>98000</v>
      </c>
    </row>
    <row r="7" spans="1:6" x14ac:dyDescent="0.3">
      <c r="E7" t="s">
        <v>1029</v>
      </c>
      <c r="F7">
        <v>112000</v>
      </c>
    </row>
    <row r="8" spans="1:6" x14ac:dyDescent="0.3">
      <c r="E8" t="s">
        <v>1046</v>
      </c>
      <c r="F8">
        <v>89000</v>
      </c>
    </row>
    <row r="9" spans="1:6" x14ac:dyDescent="0.3">
      <c r="E9" t="s">
        <v>1027</v>
      </c>
      <c r="F9">
        <v>145000</v>
      </c>
    </row>
    <row r="12" spans="1:6" x14ac:dyDescent="0.3">
      <c r="E12" t="s">
        <v>1134</v>
      </c>
    </row>
    <row r="13" spans="1:6" x14ac:dyDescent="0.3">
      <c r="E13" t="s">
        <v>969</v>
      </c>
      <c r="F13" t="s">
        <v>1135</v>
      </c>
    </row>
    <row r="14" spans="1:6" x14ac:dyDescent="0.3">
      <c r="E14" t="s">
        <v>1136</v>
      </c>
      <c r="F14">
        <v>35</v>
      </c>
    </row>
    <row r="15" spans="1:6" x14ac:dyDescent="0.3">
      <c r="E15" t="s">
        <v>1137</v>
      </c>
      <c r="F15">
        <v>25</v>
      </c>
    </row>
    <row r="16" spans="1:6" x14ac:dyDescent="0.3">
      <c r="E16" t="s">
        <v>1138</v>
      </c>
      <c r="F16">
        <v>20</v>
      </c>
    </row>
    <row r="17" spans="5:7" x14ac:dyDescent="0.3">
      <c r="E17" t="s">
        <v>1139</v>
      </c>
      <c r="F17">
        <v>15</v>
      </c>
    </row>
    <row r="18" spans="5:7" x14ac:dyDescent="0.3">
      <c r="E18" t="s">
        <v>1140</v>
      </c>
      <c r="F18">
        <v>5</v>
      </c>
    </row>
    <row r="21" spans="5:7" x14ac:dyDescent="0.3">
      <c r="E21" t="s">
        <v>1141</v>
      </c>
    </row>
    <row r="22" spans="5:7" x14ac:dyDescent="0.3">
      <c r="E22" t="s">
        <v>844</v>
      </c>
      <c r="F22">
        <v>2023</v>
      </c>
      <c r="G22">
        <v>2024</v>
      </c>
    </row>
    <row r="23" spans="5:7" x14ac:dyDescent="0.3">
      <c r="E23" t="s">
        <v>1142</v>
      </c>
      <c r="F23">
        <v>45000</v>
      </c>
      <c r="G23">
        <v>52000</v>
      </c>
    </row>
    <row r="24" spans="5:7" x14ac:dyDescent="0.3">
      <c r="E24" t="s">
        <v>1143</v>
      </c>
      <c r="F24">
        <v>48000</v>
      </c>
      <c r="G24">
        <v>55000</v>
      </c>
    </row>
    <row r="25" spans="5:7" x14ac:dyDescent="0.3">
      <c r="E25" t="s">
        <v>1144</v>
      </c>
      <c r="F25">
        <v>52000</v>
      </c>
      <c r="G25">
        <v>58000</v>
      </c>
    </row>
    <row r="26" spans="5:7" x14ac:dyDescent="0.3">
      <c r="E26" t="s">
        <v>1145</v>
      </c>
      <c r="F26">
        <v>49000</v>
      </c>
      <c r="G26">
        <v>61000</v>
      </c>
    </row>
    <row r="27" spans="5:7" x14ac:dyDescent="0.3">
      <c r="E27" t="s">
        <v>851</v>
      </c>
      <c r="F27">
        <v>55000</v>
      </c>
      <c r="G27">
        <v>65000</v>
      </c>
    </row>
    <row r="28" spans="5:7" x14ac:dyDescent="0.3">
      <c r="E28" t="s">
        <v>1146</v>
      </c>
      <c r="F28">
        <v>58000</v>
      </c>
      <c r="G28">
        <v>68000</v>
      </c>
    </row>
    <row r="29" spans="5:7" x14ac:dyDescent="0.3">
      <c r="E29" t="s">
        <v>1147</v>
      </c>
      <c r="F29">
        <v>62000</v>
      </c>
      <c r="G29">
        <v>72000</v>
      </c>
    </row>
    <row r="30" spans="5:7" x14ac:dyDescent="0.3">
      <c r="E30" t="s">
        <v>1148</v>
      </c>
      <c r="F30">
        <v>59000</v>
      </c>
      <c r="G30">
        <v>75000</v>
      </c>
    </row>
    <row r="31" spans="5:7" x14ac:dyDescent="0.3">
      <c r="E31" t="s">
        <v>1149</v>
      </c>
      <c r="F31">
        <v>65000</v>
      </c>
      <c r="G31">
        <v>78000</v>
      </c>
    </row>
    <row r="32" spans="5:7" x14ac:dyDescent="0.3">
      <c r="E32" t="s">
        <v>1150</v>
      </c>
      <c r="F32">
        <v>68000</v>
      </c>
      <c r="G32">
        <v>82000</v>
      </c>
    </row>
    <row r="33" spans="5:7" x14ac:dyDescent="0.3">
      <c r="E33" t="s">
        <v>1151</v>
      </c>
      <c r="F33">
        <v>72000</v>
      </c>
      <c r="G33">
        <v>88000</v>
      </c>
    </row>
    <row r="34" spans="5:7" x14ac:dyDescent="0.3">
      <c r="E34" t="s">
        <v>1152</v>
      </c>
      <c r="F34">
        <v>85000</v>
      </c>
      <c r="G34">
        <v>95000</v>
      </c>
    </row>
    <row r="37" spans="5:7" x14ac:dyDescent="0.3">
      <c r="E37" s="18" t="s">
        <v>1153</v>
      </c>
    </row>
    <row r="38" spans="5:7" x14ac:dyDescent="0.3">
      <c r="E38" s="35" t="s">
        <v>1154</v>
      </c>
      <c r="F38" s="35" t="s">
        <v>845</v>
      </c>
      <c r="G38" s="35" t="s">
        <v>1155</v>
      </c>
    </row>
    <row r="39" spans="5:7" x14ac:dyDescent="0.3">
      <c r="E39" t="s">
        <v>1156</v>
      </c>
      <c r="F39" s="24">
        <v>150000</v>
      </c>
      <c r="G39">
        <v>12</v>
      </c>
    </row>
    <row r="40" spans="5:7" x14ac:dyDescent="0.3">
      <c r="E40" t="s">
        <v>1157</v>
      </c>
      <c r="F40" s="24">
        <v>180000</v>
      </c>
      <c r="G40">
        <v>20</v>
      </c>
    </row>
    <row r="41" spans="5:7" x14ac:dyDescent="0.3">
      <c r="E41" t="s">
        <v>1158</v>
      </c>
      <c r="F41" s="24">
        <v>165000</v>
      </c>
      <c r="G41">
        <v>-8</v>
      </c>
    </row>
    <row r="42" spans="5:7" x14ac:dyDescent="0.3">
      <c r="E42" t="s">
        <v>1159</v>
      </c>
      <c r="F42" s="24">
        <v>210000</v>
      </c>
      <c r="G42">
        <v>27</v>
      </c>
    </row>
    <row r="45" spans="5:7" x14ac:dyDescent="0.3">
      <c r="E45" s="34" t="s">
        <v>1160</v>
      </c>
    </row>
    <row r="46" spans="5:7" x14ac:dyDescent="0.3">
      <c r="E46" t="s">
        <v>1161</v>
      </c>
    </row>
    <row r="47" spans="5:7" x14ac:dyDescent="0.3">
      <c r="E47" t="s">
        <v>1162</v>
      </c>
    </row>
    <row r="48" spans="5:7" x14ac:dyDescent="0.3">
      <c r="E48" t="s">
        <v>1163</v>
      </c>
    </row>
    <row r="49" spans="5:5" x14ac:dyDescent="0.3">
      <c r="E49" t="s">
        <v>1164</v>
      </c>
    </row>
    <row r="50" spans="5:5" x14ac:dyDescent="0.3">
      <c r="E50" t="s">
        <v>1165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C6898-BA3F-4B4C-9276-BE12DFC08466}">
  <sheetPr>
    <tabColor rgb="FFFFC000"/>
  </sheetPr>
  <dimension ref="A1:I101"/>
  <sheetViews>
    <sheetView workbookViewId="0"/>
  </sheetViews>
  <sheetFormatPr defaultRowHeight="14.4" x14ac:dyDescent="0.3"/>
  <cols>
    <col min="1" max="1" width="16.6640625" customWidth="1"/>
    <col min="2" max="2" width="27.77734375" customWidth="1"/>
    <col min="3" max="3" width="18.5546875" customWidth="1"/>
    <col min="4" max="4" width="24.109375" customWidth="1"/>
    <col min="5" max="5" width="14.77734375" customWidth="1"/>
    <col min="6" max="6" width="18.5546875" customWidth="1"/>
    <col min="7" max="7" width="37" customWidth="1"/>
    <col min="8" max="8" width="22.21875" customWidth="1"/>
    <col min="9" max="9" width="14.77734375" customWidth="1"/>
  </cols>
  <sheetData>
    <row r="1" spans="1:9" x14ac:dyDescent="0.3">
      <c r="A1" s="8" t="s">
        <v>227</v>
      </c>
      <c r="B1" s="7" t="s">
        <v>228</v>
      </c>
      <c r="C1" s="7" t="s">
        <v>229</v>
      </c>
      <c r="D1" s="7" t="s">
        <v>230</v>
      </c>
      <c r="E1" s="7" t="s">
        <v>231</v>
      </c>
      <c r="F1" s="7" t="s">
        <v>232</v>
      </c>
      <c r="G1" s="7" t="s">
        <v>233</v>
      </c>
      <c r="H1" s="7" t="s">
        <v>234</v>
      </c>
      <c r="I1" s="11" t="s">
        <v>235</v>
      </c>
    </row>
    <row r="2" spans="1:9" x14ac:dyDescent="0.3">
      <c r="A2" s="9" t="s">
        <v>236</v>
      </c>
      <c r="B2" s="5" t="s">
        <v>237</v>
      </c>
      <c r="C2" s="5" t="s">
        <v>238</v>
      </c>
      <c r="D2" s="5" t="s">
        <v>239</v>
      </c>
      <c r="E2" s="26">
        <v>7224</v>
      </c>
      <c r="F2" s="27" t="s">
        <v>240</v>
      </c>
      <c r="G2" s="5" t="s">
        <v>241</v>
      </c>
      <c r="H2" s="5" t="s">
        <v>242</v>
      </c>
      <c r="I2" s="12" t="s">
        <v>243</v>
      </c>
    </row>
    <row r="3" spans="1:9" x14ac:dyDescent="0.3">
      <c r="A3" s="9" t="s">
        <v>244</v>
      </c>
      <c r="B3" s="5" t="s">
        <v>245</v>
      </c>
      <c r="C3" s="5" t="s">
        <v>246</v>
      </c>
      <c r="D3" s="5" t="s">
        <v>247</v>
      </c>
      <c r="E3" s="26">
        <v>8739</v>
      </c>
      <c r="F3" s="27" t="s">
        <v>248</v>
      </c>
      <c r="G3" s="5" t="s">
        <v>249</v>
      </c>
      <c r="H3" s="5" t="s">
        <v>250</v>
      </c>
      <c r="I3" s="12" t="s">
        <v>243</v>
      </c>
    </row>
    <row r="4" spans="1:9" x14ac:dyDescent="0.3">
      <c r="A4" s="9" t="s">
        <v>251</v>
      </c>
      <c r="B4" s="5" t="s">
        <v>252</v>
      </c>
      <c r="C4" s="5" t="s">
        <v>253</v>
      </c>
      <c r="D4" s="5" t="s">
        <v>254</v>
      </c>
      <c r="E4" s="26">
        <v>10125</v>
      </c>
      <c r="F4" s="27" t="s">
        <v>255</v>
      </c>
      <c r="G4" s="5" t="s">
        <v>256</v>
      </c>
      <c r="H4" s="5" t="s">
        <v>257</v>
      </c>
      <c r="I4" s="12" t="s">
        <v>243</v>
      </c>
    </row>
    <row r="5" spans="1:9" x14ac:dyDescent="0.3">
      <c r="A5" s="9" t="s">
        <v>258</v>
      </c>
      <c r="B5" s="5" t="s">
        <v>259</v>
      </c>
      <c r="C5" s="5" t="s">
        <v>260</v>
      </c>
      <c r="D5" s="5" t="s">
        <v>261</v>
      </c>
      <c r="E5" s="26">
        <v>10229</v>
      </c>
      <c r="F5" s="27" t="s">
        <v>262</v>
      </c>
      <c r="G5" s="5" t="s">
        <v>263</v>
      </c>
      <c r="H5" s="5" t="s">
        <v>264</v>
      </c>
      <c r="I5" s="12" t="s">
        <v>243</v>
      </c>
    </row>
    <row r="6" spans="1:9" x14ac:dyDescent="0.3">
      <c r="A6" s="9" t="s">
        <v>265</v>
      </c>
      <c r="B6" s="5" t="s">
        <v>266</v>
      </c>
      <c r="C6" s="5" t="s">
        <v>267</v>
      </c>
      <c r="D6" s="5" t="s">
        <v>268</v>
      </c>
      <c r="E6" s="26">
        <v>9858</v>
      </c>
      <c r="F6" s="27" t="s">
        <v>269</v>
      </c>
      <c r="G6" s="5" t="s">
        <v>270</v>
      </c>
      <c r="H6" s="5" t="s">
        <v>271</v>
      </c>
      <c r="I6" s="12" t="s">
        <v>243</v>
      </c>
    </row>
    <row r="7" spans="1:9" x14ac:dyDescent="0.3">
      <c r="A7" s="9" t="s">
        <v>272</v>
      </c>
      <c r="B7" s="5" t="s">
        <v>273</v>
      </c>
      <c r="C7" s="5" t="s">
        <v>274</v>
      </c>
      <c r="D7" s="5" t="s">
        <v>275</v>
      </c>
      <c r="E7" s="26">
        <v>6978</v>
      </c>
      <c r="F7" s="27" t="s">
        <v>276</v>
      </c>
      <c r="G7" s="5" t="s">
        <v>277</v>
      </c>
      <c r="H7" s="5" t="s">
        <v>278</v>
      </c>
      <c r="I7" s="12" t="s">
        <v>243</v>
      </c>
    </row>
    <row r="8" spans="1:9" x14ac:dyDescent="0.3">
      <c r="A8" s="9" t="s">
        <v>279</v>
      </c>
      <c r="B8" s="5" t="s">
        <v>280</v>
      </c>
      <c r="C8" s="5" t="s">
        <v>267</v>
      </c>
      <c r="D8" s="5" t="s">
        <v>268</v>
      </c>
      <c r="E8" s="26">
        <v>8238</v>
      </c>
      <c r="F8" s="27" t="s">
        <v>281</v>
      </c>
      <c r="G8" s="5" t="s">
        <v>282</v>
      </c>
      <c r="H8" s="5" t="s">
        <v>283</v>
      </c>
      <c r="I8" s="12" t="s">
        <v>243</v>
      </c>
    </row>
    <row r="9" spans="1:9" x14ac:dyDescent="0.3">
      <c r="A9" s="9" t="s">
        <v>284</v>
      </c>
      <c r="B9" s="5" t="s">
        <v>285</v>
      </c>
      <c r="C9" s="5" t="s">
        <v>286</v>
      </c>
      <c r="D9" s="5" t="s">
        <v>287</v>
      </c>
      <c r="E9" s="26">
        <v>5066</v>
      </c>
      <c r="F9" s="27" t="s">
        <v>288</v>
      </c>
      <c r="G9" s="5" t="s">
        <v>289</v>
      </c>
      <c r="H9" s="5" t="s">
        <v>290</v>
      </c>
      <c r="I9" s="12" t="s">
        <v>243</v>
      </c>
    </row>
    <row r="10" spans="1:9" x14ac:dyDescent="0.3">
      <c r="A10" s="9" t="s">
        <v>291</v>
      </c>
      <c r="B10" s="5" t="s">
        <v>292</v>
      </c>
      <c r="C10" s="5" t="s">
        <v>286</v>
      </c>
      <c r="D10" s="5" t="s">
        <v>293</v>
      </c>
      <c r="E10" s="26">
        <v>9018</v>
      </c>
      <c r="F10" s="27" t="s">
        <v>294</v>
      </c>
      <c r="G10" s="5" t="s">
        <v>295</v>
      </c>
      <c r="H10" s="5" t="s">
        <v>296</v>
      </c>
      <c r="I10" s="12" t="s">
        <v>243</v>
      </c>
    </row>
    <row r="11" spans="1:9" x14ac:dyDescent="0.3">
      <c r="A11" s="9" t="s">
        <v>297</v>
      </c>
      <c r="B11" s="5" t="s">
        <v>298</v>
      </c>
      <c r="C11" s="5" t="s">
        <v>267</v>
      </c>
      <c r="D11" s="5" t="s">
        <v>299</v>
      </c>
      <c r="E11" s="26">
        <v>9497</v>
      </c>
      <c r="F11" s="27" t="s">
        <v>300</v>
      </c>
      <c r="G11" s="5" t="s">
        <v>301</v>
      </c>
      <c r="H11" s="5" t="s">
        <v>302</v>
      </c>
      <c r="I11" s="12" t="s">
        <v>243</v>
      </c>
    </row>
    <row r="12" spans="1:9" x14ac:dyDescent="0.3">
      <c r="A12" s="9" t="s">
        <v>303</v>
      </c>
      <c r="B12" s="5" t="s">
        <v>304</v>
      </c>
      <c r="C12" s="5" t="s">
        <v>305</v>
      </c>
      <c r="D12" s="5" t="s">
        <v>306</v>
      </c>
      <c r="E12" s="26">
        <v>10442</v>
      </c>
      <c r="F12" s="27" t="s">
        <v>307</v>
      </c>
      <c r="G12" s="5" t="s">
        <v>308</v>
      </c>
      <c r="H12" s="5" t="s">
        <v>309</v>
      </c>
      <c r="I12" s="12" t="s">
        <v>243</v>
      </c>
    </row>
    <row r="13" spans="1:9" x14ac:dyDescent="0.3">
      <c r="A13" s="9" t="s">
        <v>310</v>
      </c>
      <c r="B13" s="5" t="s">
        <v>311</v>
      </c>
      <c r="C13" s="5" t="s">
        <v>253</v>
      </c>
      <c r="D13" s="5" t="s">
        <v>254</v>
      </c>
      <c r="E13" s="26">
        <v>3435</v>
      </c>
      <c r="F13" s="27" t="s">
        <v>312</v>
      </c>
      <c r="G13" s="5" t="s">
        <v>313</v>
      </c>
      <c r="H13" s="5" t="s">
        <v>314</v>
      </c>
      <c r="I13" s="12" t="s">
        <v>243</v>
      </c>
    </row>
    <row r="14" spans="1:9" x14ac:dyDescent="0.3">
      <c r="A14" s="9" t="s">
        <v>315</v>
      </c>
      <c r="B14" s="5" t="s">
        <v>316</v>
      </c>
      <c r="C14" s="5" t="s">
        <v>305</v>
      </c>
      <c r="D14" s="5" t="s">
        <v>317</v>
      </c>
      <c r="E14" s="26">
        <v>7980</v>
      </c>
      <c r="F14" s="27" t="s">
        <v>318</v>
      </c>
      <c r="G14" s="5" t="s">
        <v>319</v>
      </c>
      <c r="H14" s="5" t="s">
        <v>320</v>
      </c>
      <c r="I14" s="12" t="s">
        <v>243</v>
      </c>
    </row>
    <row r="15" spans="1:9" x14ac:dyDescent="0.3">
      <c r="A15" s="9" t="s">
        <v>321</v>
      </c>
      <c r="B15" s="5" t="s">
        <v>322</v>
      </c>
      <c r="C15" s="5" t="s">
        <v>238</v>
      </c>
      <c r="D15" s="5" t="s">
        <v>323</v>
      </c>
      <c r="E15" s="26">
        <v>3297</v>
      </c>
      <c r="F15" s="27" t="s">
        <v>324</v>
      </c>
      <c r="G15" s="5" t="s">
        <v>325</v>
      </c>
      <c r="H15" s="5" t="s">
        <v>326</v>
      </c>
      <c r="I15" s="12" t="s">
        <v>243</v>
      </c>
    </row>
    <row r="16" spans="1:9" x14ac:dyDescent="0.3">
      <c r="A16" s="9" t="s">
        <v>327</v>
      </c>
      <c r="B16" s="5" t="s">
        <v>328</v>
      </c>
      <c r="C16" s="5" t="s">
        <v>286</v>
      </c>
      <c r="D16" s="5" t="s">
        <v>329</v>
      </c>
      <c r="E16" s="26">
        <v>4823</v>
      </c>
      <c r="F16" s="27" t="s">
        <v>330</v>
      </c>
      <c r="G16" s="5" t="s">
        <v>331</v>
      </c>
      <c r="H16" s="5" t="s">
        <v>332</v>
      </c>
      <c r="I16" s="12" t="s">
        <v>243</v>
      </c>
    </row>
    <row r="17" spans="1:9" x14ac:dyDescent="0.3">
      <c r="A17" s="9" t="s">
        <v>333</v>
      </c>
      <c r="B17" s="5" t="s">
        <v>334</v>
      </c>
      <c r="C17" s="5" t="s">
        <v>286</v>
      </c>
      <c r="D17" s="5" t="s">
        <v>287</v>
      </c>
      <c r="E17" s="26">
        <v>7762</v>
      </c>
      <c r="F17" s="27" t="s">
        <v>335</v>
      </c>
      <c r="G17" s="5" t="s">
        <v>336</v>
      </c>
      <c r="H17" s="5" t="s">
        <v>337</v>
      </c>
      <c r="I17" s="12" t="s">
        <v>243</v>
      </c>
    </row>
    <row r="18" spans="1:9" x14ac:dyDescent="0.3">
      <c r="A18" s="9" t="s">
        <v>338</v>
      </c>
      <c r="B18" s="5" t="s">
        <v>339</v>
      </c>
      <c r="C18" s="5" t="s">
        <v>274</v>
      </c>
      <c r="D18" s="5" t="s">
        <v>340</v>
      </c>
      <c r="E18" s="26">
        <v>4566</v>
      </c>
      <c r="F18" s="27" t="s">
        <v>341</v>
      </c>
      <c r="G18" s="5" t="s">
        <v>342</v>
      </c>
      <c r="H18" s="5" t="s">
        <v>343</v>
      </c>
      <c r="I18" s="12" t="s">
        <v>344</v>
      </c>
    </row>
    <row r="19" spans="1:9" x14ac:dyDescent="0.3">
      <c r="A19" s="9" t="s">
        <v>345</v>
      </c>
      <c r="B19" s="5" t="s">
        <v>346</v>
      </c>
      <c r="C19" s="5" t="s">
        <v>305</v>
      </c>
      <c r="D19" s="5" t="s">
        <v>306</v>
      </c>
      <c r="E19" s="26">
        <v>3853</v>
      </c>
      <c r="F19" s="27" t="s">
        <v>347</v>
      </c>
      <c r="G19" s="5" t="s">
        <v>348</v>
      </c>
      <c r="H19" s="5" t="s">
        <v>349</v>
      </c>
      <c r="I19" s="12" t="s">
        <v>344</v>
      </c>
    </row>
    <row r="20" spans="1:9" x14ac:dyDescent="0.3">
      <c r="A20" s="9" t="s">
        <v>350</v>
      </c>
      <c r="B20" s="5" t="s">
        <v>351</v>
      </c>
      <c r="C20" s="5" t="s">
        <v>238</v>
      </c>
      <c r="D20" s="5" t="s">
        <v>323</v>
      </c>
      <c r="E20" s="26">
        <v>8310</v>
      </c>
      <c r="F20" s="27" t="s">
        <v>352</v>
      </c>
      <c r="G20" s="5" t="s">
        <v>353</v>
      </c>
      <c r="H20" s="5" t="s">
        <v>354</v>
      </c>
      <c r="I20" s="12" t="s">
        <v>243</v>
      </c>
    </row>
    <row r="21" spans="1:9" x14ac:dyDescent="0.3">
      <c r="A21" s="9" t="s">
        <v>355</v>
      </c>
      <c r="B21" s="5" t="s">
        <v>356</v>
      </c>
      <c r="C21" s="5" t="s">
        <v>286</v>
      </c>
      <c r="D21" s="5" t="s">
        <v>329</v>
      </c>
      <c r="E21" s="26">
        <v>10588</v>
      </c>
      <c r="F21" s="27" t="s">
        <v>357</v>
      </c>
      <c r="G21" s="5" t="s">
        <v>358</v>
      </c>
      <c r="H21" s="5" t="s">
        <v>359</v>
      </c>
      <c r="I21" s="12" t="s">
        <v>243</v>
      </c>
    </row>
    <row r="22" spans="1:9" x14ac:dyDescent="0.3">
      <c r="A22" s="9" t="s">
        <v>360</v>
      </c>
      <c r="B22" s="5" t="s">
        <v>361</v>
      </c>
      <c r="C22" s="5" t="s">
        <v>260</v>
      </c>
      <c r="D22" s="5" t="s">
        <v>261</v>
      </c>
      <c r="E22" s="26">
        <v>10251</v>
      </c>
      <c r="F22" s="27" t="s">
        <v>362</v>
      </c>
      <c r="G22" s="5" t="s">
        <v>363</v>
      </c>
      <c r="H22" s="5" t="s">
        <v>364</v>
      </c>
      <c r="I22" s="12" t="s">
        <v>243</v>
      </c>
    </row>
    <row r="23" spans="1:9" x14ac:dyDescent="0.3">
      <c r="A23" s="9" t="s">
        <v>365</v>
      </c>
      <c r="B23" s="5" t="s">
        <v>366</v>
      </c>
      <c r="C23" s="5" t="s">
        <v>238</v>
      </c>
      <c r="D23" s="5" t="s">
        <v>367</v>
      </c>
      <c r="E23" s="26">
        <v>4846</v>
      </c>
      <c r="F23" s="27" t="s">
        <v>368</v>
      </c>
      <c r="G23" s="5" t="s">
        <v>369</v>
      </c>
      <c r="H23" s="5" t="s">
        <v>370</v>
      </c>
      <c r="I23" s="12" t="s">
        <v>243</v>
      </c>
    </row>
    <row r="24" spans="1:9" x14ac:dyDescent="0.3">
      <c r="A24" s="9" t="s">
        <v>371</v>
      </c>
      <c r="B24" s="5" t="s">
        <v>372</v>
      </c>
      <c r="C24" s="5" t="s">
        <v>260</v>
      </c>
      <c r="D24" s="5" t="s">
        <v>373</v>
      </c>
      <c r="E24" s="26">
        <v>4329</v>
      </c>
      <c r="F24" s="27" t="s">
        <v>374</v>
      </c>
      <c r="G24" s="5" t="s">
        <v>375</v>
      </c>
      <c r="H24" s="5" t="s">
        <v>376</v>
      </c>
      <c r="I24" s="12" t="s">
        <v>243</v>
      </c>
    </row>
    <row r="25" spans="1:9" x14ac:dyDescent="0.3">
      <c r="A25" s="9" t="s">
        <v>377</v>
      </c>
      <c r="B25" s="5" t="s">
        <v>378</v>
      </c>
      <c r="C25" s="5" t="s">
        <v>246</v>
      </c>
      <c r="D25" s="5" t="s">
        <v>247</v>
      </c>
      <c r="E25" s="26">
        <v>8648</v>
      </c>
      <c r="F25" s="27" t="s">
        <v>379</v>
      </c>
      <c r="G25" s="5" t="s">
        <v>380</v>
      </c>
      <c r="H25" s="5" t="s">
        <v>381</v>
      </c>
      <c r="I25" s="12" t="s">
        <v>243</v>
      </c>
    </row>
    <row r="26" spans="1:9" x14ac:dyDescent="0.3">
      <c r="A26" s="9" t="s">
        <v>382</v>
      </c>
      <c r="B26" s="5" t="s">
        <v>383</v>
      </c>
      <c r="C26" s="5" t="s">
        <v>267</v>
      </c>
      <c r="D26" s="5" t="s">
        <v>384</v>
      </c>
      <c r="E26" s="26">
        <v>10780</v>
      </c>
      <c r="F26" s="27" t="s">
        <v>385</v>
      </c>
      <c r="G26" s="5" t="s">
        <v>386</v>
      </c>
      <c r="H26" s="5" t="s">
        <v>387</v>
      </c>
      <c r="I26" s="12" t="s">
        <v>243</v>
      </c>
    </row>
    <row r="27" spans="1:9" x14ac:dyDescent="0.3">
      <c r="A27" s="9" t="s">
        <v>388</v>
      </c>
      <c r="B27" s="5" t="s">
        <v>389</v>
      </c>
      <c r="C27" s="5" t="s">
        <v>274</v>
      </c>
      <c r="D27" s="5" t="s">
        <v>390</v>
      </c>
      <c r="E27" s="26">
        <v>8724</v>
      </c>
      <c r="F27" s="27" t="s">
        <v>391</v>
      </c>
      <c r="G27" s="5" t="s">
        <v>392</v>
      </c>
      <c r="H27" s="5" t="s">
        <v>393</v>
      </c>
      <c r="I27" s="12" t="s">
        <v>243</v>
      </c>
    </row>
    <row r="28" spans="1:9" x14ac:dyDescent="0.3">
      <c r="A28" s="9" t="s">
        <v>394</v>
      </c>
      <c r="B28" s="5" t="s">
        <v>395</v>
      </c>
      <c r="C28" s="5" t="s">
        <v>305</v>
      </c>
      <c r="D28" s="5" t="s">
        <v>317</v>
      </c>
      <c r="E28" s="26">
        <v>4499</v>
      </c>
      <c r="F28" s="27" t="s">
        <v>396</v>
      </c>
      <c r="G28" s="5" t="s">
        <v>397</v>
      </c>
      <c r="H28" s="5" t="s">
        <v>398</v>
      </c>
      <c r="I28" s="12" t="s">
        <v>243</v>
      </c>
    </row>
    <row r="29" spans="1:9" x14ac:dyDescent="0.3">
      <c r="A29" s="9" t="s">
        <v>399</v>
      </c>
      <c r="B29" s="5" t="s">
        <v>400</v>
      </c>
      <c r="C29" s="5" t="s">
        <v>286</v>
      </c>
      <c r="D29" s="5" t="s">
        <v>401</v>
      </c>
      <c r="E29" s="26">
        <v>6661</v>
      </c>
      <c r="F29" s="27" t="s">
        <v>402</v>
      </c>
      <c r="G29" s="5" t="s">
        <v>403</v>
      </c>
      <c r="H29" s="5" t="s">
        <v>404</v>
      </c>
      <c r="I29" s="12" t="s">
        <v>243</v>
      </c>
    </row>
    <row r="30" spans="1:9" x14ac:dyDescent="0.3">
      <c r="A30" s="9" t="s">
        <v>405</v>
      </c>
      <c r="B30" s="5" t="s">
        <v>406</v>
      </c>
      <c r="C30" s="5" t="s">
        <v>260</v>
      </c>
      <c r="D30" s="5" t="s">
        <v>373</v>
      </c>
      <c r="E30" s="26">
        <v>9396</v>
      </c>
      <c r="F30" s="27" t="s">
        <v>407</v>
      </c>
      <c r="G30" s="5" t="s">
        <v>408</v>
      </c>
      <c r="H30" s="5" t="s">
        <v>409</v>
      </c>
      <c r="I30" s="12" t="s">
        <v>243</v>
      </c>
    </row>
    <row r="31" spans="1:9" x14ac:dyDescent="0.3">
      <c r="A31" s="9" t="s">
        <v>410</v>
      </c>
      <c r="B31" s="5" t="s">
        <v>411</v>
      </c>
      <c r="C31" s="5" t="s">
        <v>246</v>
      </c>
      <c r="D31" s="5" t="s">
        <v>247</v>
      </c>
      <c r="E31" s="26">
        <v>6109</v>
      </c>
      <c r="F31" s="27" t="s">
        <v>412</v>
      </c>
      <c r="G31" s="5" t="s">
        <v>413</v>
      </c>
      <c r="H31" s="5" t="s">
        <v>414</v>
      </c>
      <c r="I31" s="12" t="s">
        <v>243</v>
      </c>
    </row>
    <row r="32" spans="1:9" x14ac:dyDescent="0.3">
      <c r="A32" s="9" t="s">
        <v>415</v>
      </c>
      <c r="B32" s="5" t="s">
        <v>416</v>
      </c>
      <c r="C32" s="5" t="s">
        <v>267</v>
      </c>
      <c r="D32" s="5" t="s">
        <v>299</v>
      </c>
      <c r="E32" s="26">
        <v>7950</v>
      </c>
      <c r="F32" s="27" t="s">
        <v>417</v>
      </c>
      <c r="G32" s="5" t="s">
        <v>418</v>
      </c>
      <c r="H32" s="5" t="s">
        <v>419</v>
      </c>
      <c r="I32" s="12" t="s">
        <v>243</v>
      </c>
    </row>
    <row r="33" spans="1:9" x14ac:dyDescent="0.3">
      <c r="A33" s="9" t="s">
        <v>420</v>
      </c>
      <c r="B33" s="5" t="s">
        <v>421</v>
      </c>
      <c r="C33" s="5" t="s">
        <v>246</v>
      </c>
      <c r="D33" s="5" t="s">
        <v>422</v>
      </c>
      <c r="E33" s="26">
        <v>10194</v>
      </c>
      <c r="F33" s="27" t="s">
        <v>423</v>
      </c>
      <c r="G33" s="5" t="s">
        <v>424</v>
      </c>
      <c r="H33" s="5" t="s">
        <v>425</v>
      </c>
      <c r="I33" s="12" t="s">
        <v>344</v>
      </c>
    </row>
    <row r="34" spans="1:9" x14ac:dyDescent="0.3">
      <c r="A34" s="9" t="s">
        <v>426</v>
      </c>
      <c r="B34" s="5" t="s">
        <v>245</v>
      </c>
      <c r="C34" s="5" t="s">
        <v>246</v>
      </c>
      <c r="D34" s="5" t="s">
        <v>427</v>
      </c>
      <c r="E34" s="26">
        <v>4835</v>
      </c>
      <c r="F34" s="27" t="s">
        <v>428</v>
      </c>
      <c r="G34" s="5" t="s">
        <v>249</v>
      </c>
      <c r="H34" s="5" t="s">
        <v>429</v>
      </c>
      <c r="I34" s="12" t="s">
        <v>344</v>
      </c>
    </row>
    <row r="35" spans="1:9" x14ac:dyDescent="0.3">
      <c r="A35" s="9" t="s">
        <v>430</v>
      </c>
      <c r="B35" s="5" t="s">
        <v>431</v>
      </c>
      <c r="C35" s="5" t="s">
        <v>274</v>
      </c>
      <c r="D35" s="5" t="s">
        <v>432</v>
      </c>
      <c r="E35" s="26">
        <v>8050</v>
      </c>
      <c r="F35" s="27" t="s">
        <v>433</v>
      </c>
      <c r="G35" s="5" t="s">
        <v>434</v>
      </c>
      <c r="H35" s="5" t="s">
        <v>435</v>
      </c>
      <c r="I35" s="12" t="s">
        <v>243</v>
      </c>
    </row>
    <row r="36" spans="1:9" x14ac:dyDescent="0.3">
      <c r="A36" s="9" t="s">
        <v>436</v>
      </c>
      <c r="B36" s="5" t="s">
        <v>437</v>
      </c>
      <c r="C36" s="5" t="s">
        <v>267</v>
      </c>
      <c r="D36" s="5" t="s">
        <v>299</v>
      </c>
      <c r="E36" s="26">
        <v>3311</v>
      </c>
      <c r="F36" s="27" t="s">
        <v>438</v>
      </c>
      <c r="G36" s="5" t="s">
        <v>439</v>
      </c>
      <c r="H36" s="5" t="s">
        <v>440</v>
      </c>
      <c r="I36" s="12" t="s">
        <v>243</v>
      </c>
    </row>
    <row r="37" spans="1:9" x14ac:dyDescent="0.3">
      <c r="A37" s="9" t="s">
        <v>441</v>
      </c>
      <c r="B37" s="5" t="s">
        <v>442</v>
      </c>
      <c r="C37" s="5" t="s">
        <v>260</v>
      </c>
      <c r="D37" s="5" t="s">
        <v>373</v>
      </c>
      <c r="E37" s="26">
        <v>8832</v>
      </c>
      <c r="F37" s="27" t="s">
        <v>443</v>
      </c>
      <c r="G37" s="5" t="s">
        <v>444</v>
      </c>
      <c r="H37" s="5" t="s">
        <v>445</v>
      </c>
      <c r="I37" s="12" t="s">
        <v>243</v>
      </c>
    </row>
    <row r="38" spans="1:9" x14ac:dyDescent="0.3">
      <c r="A38" s="9" t="s">
        <v>446</v>
      </c>
      <c r="B38" s="5" t="s">
        <v>447</v>
      </c>
      <c r="C38" s="5" t="s">
        <v>305</v>
      </c>
      <c r="D38" s="5" t="s">
        <v>317</v>
      </c>
      <c r="E38" s="26">
        <v>3617</v>
      </c>
      <c r="F38" s="27" t="s">
        <v>448</v>
      </c>
      <c r="G38" s="5" t="s">
        <v>449</v>
      </c>
      <c r="H38" s="5" t="s">
        <v>450</v>
      </c>
      <c r="I38" s="12" t="s">
        <v>344</v>
      </c>
    </row>
    <row r="39" spans="1:9" x14ac:dyDescent="0.3">
      <c r="A39" s="9" t="s">
        <v>451</v>
      </c>
      <c r="B39" s="5" t="s">
        <v>452</v>
      </c>
      <c r="C39" s="5" t="s">
        <v>274</v>
      </c>
      <c r="D39" s="5" t="s">
        <v>390</v>
      </c>
      <c r="E39" s="26">
        <v>10203</v>
      </c>
      <c r="F39" s="27" t="s">
        <v>453</v>
      </c>
      <c r="G39" s="5" t="s">
        <v>454</v>
      </c>
      <c r="H39" s="5" t="s">
        <v>455</v>
      </c>
      <c r="I39" s="12" t="s">
        <v>344</v>
      </c>
    </row>
    <row r="40" spans="1:9" x14ac:dyDescent="0.3">
      <c r="A40" s="9" t="s">
        <v>456</v>
      </c>
      <c r="B40" s="5" t="s">
        <v>457</v>
      </c>
      <c r="C40" s="5" t="s">
        <v>253</v>
      </c>
      <c r="D40" s="5" t="s">
        <v>458</v>
      </c>
      <c r="E40" s="26">
        <v>9575</v>
      </c>
      <c r="F40" s="27" t="s">
        <v>459</v>
      </c>
      <c r="G40" s="5" t="s">
        <v>460</v>
      </c>
      <c r="H40" s="5" t="s">
        <v>461</v>
      </c>
      <c r="I40" s="12" t="s">
        <v>243</v>
      </c>
    </row>
    <row r="41" spans="1:9" x14ac:dyDescent="0.3">
      <c r="A41" s="9" t="s">
        <v>462</v>
      </c>
      <c r="B41" s="5" t="s">
        <v>463</v>
      </c>
      <c r="C41" s="5" t="s">
        <v>267</v>
      </c>
      <c r="D41" s="5" t="s">
        <v>268</v>
      </c>
      <c r="E41" s="26">
        <v>10755</v>
      </c>
      <c r="F41" s="27" t="s">
        <v>464</v>
      </c>
      <c r="G41" s="5" t="s">
        <v>465</v>
      </c>
      <c r="H41" s="5" t="s">
        <v>466</v>
      </c>
      <c r="I41" s="12" t="s">
        <v>243</v>
      </c>
    </row>
    <row r="42" spans="1:9" x14ac:dyDescent="0.3">
      <c r="A42" s="9" t="s">
        <v>467</v>
      </c>
      <c r="B42" s="5" t="s">
        <v>468</v>
      </c>
      <c r="C42" s="5" t="s">
        <v>286</v>
      </c>
      <c r="D42" s="5" t="s">
        <v>401</v>
      </c>
      <c r="E42" s="26">
        <v>4315</v>
      </c>
      <c r="F42" s="27" t="s">
        <v>469</v>
      </c>
      <c r="G42" s="5" t="s">
        <v>470</v>
      </c>
      <c r="H42" s="5" t="s">
        <v>471</v>
      </c>
      <c r="I42" s="12" t="s">
        <v>243</v>
      </c>
    </row>
    <row r="43" spans="1:9" x14ac:dyDescent="0.3">
      <c r="A43" s="9" t="s">
        <v>472</v>
      </c>
      <c r="B43" s="5" t="s">
        <v>473</v>
      </c>
      <c r="C43" s="5" t="s">
        <v>238</v>
      </c>
      <c r="D43" s="5" t="s">
        <v>474</v>
      </c>
      <c r="E43" s="26">
        <v>7448</v>
      </c>
      <c r="F43" s="27" t="s">
        <v>475</v>
      </c>
      <c r="G43" s="5" t="s">
        <v>476</v>
      </c>
      <c r="H43" s="5" t="s">
        <v>477</v>
      </c>
      <c r="I43" s="12" t="s">
        <v>243</v>
      </c>
    </row>
    <row r="44" spans="1:9" x14ac:dyDescent="0.3">
      <c r="A44" s="9" t="s">
        <v>478</v>
      </c>
      <c r="B44" s="5" t="s">
        <v>479</v>
      </c>
      <c r="C44" s="5" t="s">
        <v>253</v>
      </c>
      <c r="D44" s="5" t="s">
        <v>254</v>
      </c>
      <c r="E44" s="26">
        <v>5524</v>
      </c>
      <c r="F44" s="27" t="s">
        <v>480</v>
      </c>
      <c r="G44" s="5" t="s">
        <v>481</v>
      </c>
      <c r="H44" s="5" t="s">
        <v>482</v>
      </c>
      <c r="I44" s="12" t="s">
        <v>243</v>
      </c>
    </row>
    <row r="45" spans="1:9" x14ac:dyDescent="0.3">
      <c r="A45" s="9" t="s">
        <v>483</v>
      </c>
      <c r="B45" s="5" t="s">
        <v>484</v>
      </c>
      <c r="C45" s="5" t="s">
        <v>286</v>
      </c>
      <c r="D45" s="5" t="s">
        <v>293</v>
      </c>
      <c r="E45" s="26">
        <v>6521</v>
      </c>
      <c r="F45" s="27" t="s">
        <v>485</v>
      </c>
      <c r="G45" s="5" t="s">
        <v>486</v>
      </c>
      <c r="H45" s="5" t="s">
        <v>487</v>
      </c>
      <c r="I45" s="12" t="s">
        <v>243</v>
      </c>
    </row>
    <row r="46" spans="1:9" x14ac:dyDescent="0.3">
      <c r="A46" s="9" t="s">
        <v>488</v>
      </c>
      <c r="B46" s="5" t="s">
        <v>489</v>
      </c>
      <c r="C46" s="5" t="s">
        <v>253</v>
      </c>
      <c r="D46" s="5" t="s">
        <v>490</v>
      </c>
      <c r="E46" s="26">
        <v>7439</v>
      </c>
      <c r="F46" s="27" t="s">
        <v>491</v>
      </c>
      <c r="G46" s="5" t="s">
        <v>492</v>
      </c>
      <c r="H46" s="5" t="s">
        <v>493</v>
      </c>
      <c r="I46" s="12" t="s">
        <v>243</v>
      </c>
    </row>
    <row r="47" spans="1:9" x14ac:dyDescent="0.3">
      <c r="A47" s="9" t="s">
        <v>494</v>
      </c>
      <c r="B47" s="5" t="s">
        <v>495</v>
      </c>
      <c r="C47" s="5" t="s">
        <v>238</v>
      </c>
      <c r="D47" s="5" t="s">
        <v>474</v>
      </c>
      <c r="E47" s="26">
        <v>4399</v>
      </c>
      <c r="F47" s="27" t="s">
        <v>496</v>
      </c>
      <c r="G47" s="5" t="s">
        <v>497</v>
      </c>
      <c r="H47" s="5" t="s">
        <v>498</v>
      </c>
      <c r="I47" s="12" t="s">
        <v>243</v>
      </c>
    </row>
    <row r="48" spans="1:9" x14ac:dyDescent="0.3">
      <c r="A48" s="9" t="s">
        <v>499</v>
      </c>
      <c r="B48" s="5" t="s">
        <v>500</v>
      </c>
      <c r="C48" s="5" t="s">
        <v>286</v>
      </c>
      <c r="D48" s="5" t="s">
        <v>287</v>
      </c>
      <c r="E48" s="26">
        <v>3986</v>
      </c>
      <c r="F48" s="27" t="s">
        <v>501</v>
      </c>
      <c r="G48" s="5" t="s">
        <v>502</v>
      </c>
      <c r="H48" s="5" t="s">
        <v>503</v>
      </c>
      <c r="I48" s="12" t="s">
        <v>344</v>
      </c>
    </row>
    <row r="49" spans="1:9" x14ac:dyDescent="0.3">
      <c r="A49" s="9" t="s">
        <v>504</v>
      </c>
      <c r="B49" s="5" t="s">
        <v>505</v>
      </c>
      <c r="C49" s="5" t="s">
        <v>246</v>
      </c>
      <c r="D49" s="5" t="s">
        <v>506</v>
      </c>
      <c r="E49" s="26">
        <v>7324</v>
      </c>
      <c r="F49" s="27" t="s">
        <v>507</v>
      </c>
      <c r="G49" s="5" t="s">
        <v>508</v>
      </c>
      <c r="H49" s="5" t="s">
        <v>509</v>
      </c>
      <c r="I49" s="12" t="s">
        <v>243</v>
      </c>
    </row>
    <row r="50" spans="1:9" x14ac:dyDescent="0.3">
      <c r="A50" s="9" t="s">
        <v>510</v>
      </c>
      <c r="B50" s="5" t="s">
        <v>511</v>
      </c>
      <c r="C50" s="5" t="s">
        <v>267</v>
      </c>
      <c r="D50" s="5" t="s">
        <v>512</v>
      </c>
      <c r="E50" s="26">
        <v>7088</v>
      </c>
      <c r="F50" s="27" t="s">
        <v>513</v>
      </c>
      <c r="G50" s="5" t="s">
        <v>514</v>
      </c>
      <c r="H50" s="5" t="s">
        <v>515</v>
      </c>
      <c r="I50" s="12" t="s">
        <v>243</v>
      </c>
    </row>
    <row r="51" spans="1:9" x14ac:dyDescent="0.3">
      <c r="A51" s="9" t="s">
        <v>516</v>
      </c>
      <c r="B51" s="5" t="s">
        <v>517</v>
      </c>
      <c r="C51" s="5" t="s">
        <v>286</v>
      </c>
      <c r="D51" s="5" t="s">
        <v>401</v>
      </c>
      <c r="E51" s="26">
        <v>9389</v>
      </c>
      <c r="F51" s="27" t="s">
        <v>518</v>
      </c>
      <c r="G51" s="5" t="s">
        <v>519</v>
      </c>
      <c r="H51" s="5" t="s">
        <v>520</v>
      </c>
      <c r="I51" s="12" t="s">
        <v>243</v>
      </c>
    </row>
    <row r="52" spans="1:9" x14ac:dyDescent="0.3">
      <c r="A52" s="9" t="s">
        <v>521</v>
      </c>
      <c r="B52" s="5" t="s">
        <v>522</v>
      </c>
      <c r="C52" s="5" t="s">
        <v>253</v>
      </c>
      <c r="D52" s="5" t="s">
        <v>254</v>
      </c>
      <c r="E52" s="26">
        <v>9922</v>
      </c>
      <c r="F52" s="27" t="s">
        <v>523</v>
      </c>
      <c r="G52" s="5" t="s">
        <v>524</v>
      </c>
      <c r="H52" s="5" t="s">
        <v>525</v>
      </c>
      <c r="I52" s="12" t="s">
        <v>243</v>
      </c>
    </row>
    <row r="53" spans="1:9" x14ac:dyDescent="0.3">
      <c r="A53" s="9" t="s">
        <v>526</v>
      </c>
      <c r="B53" s="5" t="s">
        <v>527</v>
      </c>
      <c r="C53" s="5" t="s">
        <v>286</v>
      </c>
      <c r="D53" s="5" t="s">
        <v>401</v>
      </c>
      <c r="E53" s="26">
        <v>5640</v>
      </c>
      <c r="F53" s="27" t="s">
        <v>528</v>
      </c>
      <c r="G53" s="5" t="s">
        <v>529</v>
      </c>
      <c r="H53" s="5" t="s">
        <v>530</v>
      </c>
      <c r="I53" s="12" t="s">
        <v>243</v>
      </c>
    </row>
    <row r="54" spans="1:9" x14ac:dyDescent="0.3">
      <c r="A54" s="9" t="s">
        <v>531</v>
      </c>
      <c r="B54" s="5" t="s">
        <v>532</v>
      </c>
      <c r="C54" s="5" t="s">
        <v>305</v>
      </c>
      <c r="D54" s="5" t="s">
        <v>306</v>
      </c>
      <c r="E54" s="26">
        <v>8559</v>
      </c>
      <c r="F54" s="27" t="s">
        <v>533</v>
      </c>
      <c r="G54" s="5" t="s">
        <v>534</v>
      </c>
      <c r="H54" s="5" t="s">
        <v>535</v>
      </c>
      <c r="I54" s="12" t="s">
        <v>243</v>
      </c>
    </row>
    <row r="55" spans="1:9" x14ac:dyDescent="0.3">
      <c r="A55" s="9" t="s">
        <v>536</v>
      </c>
      <c r="B55" s="5" t="s">
        <v>537</v>
      </c>
      <c r="C55" s="5" t="s">
        <v>267</v>
      </c>
      <c r="D55" s="5" t="s">
        <v>299</v>
      </c>
      <c r="E55" s="26">
        <v>4902</v>
      </c>
      <c r="F55" s="27" t="s">
        <v>538</v>
      </c>
      <c r="G55" s="5" t="s">
        <v>539</v>
      </c>
      <c r="H55" s="5" t="s">
        <v>540</v>
      </c>
      <c r="I55" s="12" t="s">
        <v>243</v>
      </c>
    </row>
    <row r="56" spans="1:9" x14ac:dyDescent="0.3">
      <c r="A56" s="9" t="s">
        <v>541</v>
      </c>
      <c r="B56" s="5" t="s">
        <v>542</v>
      </c>
      <c r="C56" s="5" t="s">
        <v>253</v>
      </c>
      <c r="D56" s="5" t="s">
        <v>543</v>
      </c>
      <c r="E56" s="26">
        <v>8708</v>
      </c>
      <c r="F56" s="27" t="s">
        <v>544</v>
      </c>
      <c r="G56" s="5" t="s">
        <v>545</v>
      </c>
      <c r="H56" s="5" t="s">
        <v>546</v>
      </c>
      <c r="I56" s="12" t="s">
        <v>243</v>
      </c>
    </row>
    <row r="57" spans="1:9" x14ac:dyDescent="0.3">
      <c r="A57" s="9" t="s">
        <v>547</v>
      </c>
      <c r="B57" s="5" t="s">
        <v>334</v>
      </c>
      <c r="C57" s="5" t="s">
        <v>286</v>
      </c>
      <c r="D57" s="5" t="s">
        <v>329</v>
      </c>
      <c r="E57" s="26">
        <v>8203</v>
      </c>
      <c r="F57" s="27" t="s">
        <v>548</v>
      </c>
      <c r="G57" s="5" t="s">
        <v>336</v>
      </c>
      <c r="H57" s="5" t="s">
        <v>549</v>
      </c>
      <c r="I57" s="12" t="s">
        <v>243</v>
      </c>
    </row>
    <row r="58" spans="1:9" x14ac:dyDescent="0.3">
      <c r="A58" s="9" t="s">
        <v>550</v>
      </c>
      <c r="B58" s="5" t="s">
        <v>551</v>
      </c>
      <c r="C58" s="5" t="s">
        <v>246</v>
      </c>
      <c r="D58" s="5" t="s">
        <v>427</v>
      </c>
      <c r="E58" s="26">
        <v>6543</v>
      </c>
      <c r="F58" s="27" t="s">
        <v>552</v>
      </c>
      <c r="G58" s="5" t="s">
        <v>553</v>
      </c>
      <c r="H58" s="5" t="s">
        <v>554</v>
      </c>
      <c r="I58" s="12" t="s">
        <v>243</v>
      </c>
    </row>
    <row r="59" spans="1:9" x14ac:dyDescent="0.3">
      <c r="A59" s="9" t="s">
        <v>555</v>
      </c>
      <c r="B59" s="5" t="s">
        <v>556</v>
      </c>
      <c r="C59" s="5" t="s">
        <v>253</v>
      </c>
      <c r="D59" s="5" t="s">
        <v>254</v>
      </c>
      <c r="E59" s="26">
        <v>3240</v>
      </c>
      <c r="F59" s="27" t="s">
        <v>557</v>
      </c>
      <c r="G59" s="5" t="s">
        <v>558</v>
      </c>
      <c r="H59" s="5" t="s">
        <v>559</v>
      </c>
      <c r="I59" s="12" t="s">
        <v>243</v>
      </c>
    </row>
    <row r="60" spans="1:9" x14ac:dyDescent="0.3">
      <c r="A60" s="9" t="s">
        <v>560</v>
      </c>
      <c r="B60" s="5" t="s">
        <v>561</v>
      </c>
      <c r="C60" s="5" t="s">
        <v>274</v>
      </c>
      <c r="D60" s="5" t="s">
        <v>432</v>
      </c>
      <c r="E60" s="26">
        <v>3150</v>
      </c>
      <c r="F60" s="27" t="s">
        <v>562</v>
      </c>
      <c r="G60" s="5" t="s">
        <v>563</v>
      </c>
      <c r="H60" s="5" t="s">
        <v>564</v>
      </c>
      <c r="I60" s="12" t="s">
        <v>243</v>
      </c>
    </row>
    <row r="61" spans="1:9" x14ac:dyDescent="0.3">
      <c r="A61" s="9" t="s">
        <v>565</v>
      </c>
      <c r="B61" s="5" t="s">
        <v>566</v>
      </c>
      <c r="C61" s="5" t="s">
        <v>274</v>
      </c>
      <c r="D61" s="5" t="s">
        <v>390</v>
      </c>
      <c r="E61" s="26">
        <v>5651</v>
      </c>
      <c r="F61" s="27" t="s">
        <v>567</v>
      </c>
      <c r="G61" s="5" t="s">
        <v>568</v>
      </c>
      <c r="H61" s="5" t="s">
        <v>569</v>
      </c>
      <c r="I61" s="12" t="s">
        <v>243</v>
      </c>
    </row>
    <row r="62" spans="1:9" x14ac:dyDescent="0.3">
      <c r="A62" s="9" t="s">
        <v>570</v>
      </c>
      <c r="B62" s="5" t="s">
        <v>442</v>
      </c>
      <c r="C62" s="5" t="s">
        <v>274</v>
      </c>
      <c r="D62" s="5" t="s">
        <v>275</v>
      </c>
      <c r="E62" s="26">
        <v>4509</v>
      </c>
      <c r="F62" s="27" t="s">
        <v>571</v>
      </c>
      <c r="G62" s="5" t="s">
        <v>444</v>
      </c>
      <c r="H62" s="5" t="s">
        <v>572</v>
      </c>
      <c r="I62" s="12" t="s">
        <v>243</v>
      </c>
    </row>
    <row r="63" spans="1:9" x14ac:dyDescent="0.3">
      <c r="A63" s="9" t="s">
        <v>573</v>
      </c>
      <c r="B63" s="5" t="s">
        <v>574</v>
      </c>
      <c r="C63" s="5" t="s">
        <v>246</v>
      </c>
      <c r="D63" s="5" t="s">
        <v>422</v>
      </c>
      <c r="E63" s="26">
        <v>4735</v>
      </c>
      <c r="F63" s="27" t="s">
        <v>575</v>
      </c>
      <c r="G63" s="5" t="s">
        <v>576</v>
      </c>
      <c r="H63" s="5" t="s">
        <v>577</v>
      </c>
      <c r="I63" s="12" t="s">
        <v>243</v>
      </c>
    </row>
    <row r="64" spans="1:9" x14ac:dyDescent="0.3">
      <c r="A64" s="9" t="s">
        <v>578</v>
      </c>
      <c r="B64" s="5" t="s">
        <v>579</v>
      </c>
      <c r="C64" s="5" t="s">
        <v>246</v>
      </c>
      <c r="D64" s="5" t="s">
        <v>247</v>
      </c>
      <c r="E64" s="26">
        <v>6266</v>
      </c>
      <c r="F64" s="27" t="s">
        <v>580</v>
      </c>
      <c r="G64" s="5" t="s">
        <v>581</v>
      </c>
      <c r="H64" s="5" t="s">
        <v>582</v>
      </c>
      <c r="I64" s="12" t="s">
        <v>243</v>
      </c>
    </row>
    <row r="65" spans="1:9" x14ac:dyDescent="0.3">
      <c r="A65" s="9" t="s">
        <v>583</v>
      </c>
      <c r="B65" s="5" t="s">
        <v>584</v>
      </c>
      <c r="C65" s="5" t="s">
        <v>238</v>
      </c>
      <c r="D65" s="5" t="s">
        <v>239</v>
      </c>
      <c r="E65" s="26">
        <v>3367</v>
      </c>
      <c r="F65" s="27" t="s">
        <v>585</v>
      </c>
      <c r="G65" s="5" t="s">
        <v>586</v>
      </c>
      <c r="H65" s="5" t="s">
        <v>587</v>
      </c>
      <c r="I65" s="12" t="s">
        <v>243</v>
      </c>
    </row>
    <row r="66" spans="1:9" x14ac:dyDescent="0.3">
      <c r="A66" s="9" t="s">
        <v>588</v>
      </c>
      <c r="B66" s="5" t="s">
        <v>589</v>
      </c>
      <c r="C66" s="5" t="s">
        <v>260</v>
      </c>
      <c r="D66" s="5" t="s">
        <v>373</v>
      </c>
      <c r="E66" s="26">
        <v>9603</v>
      </c>
      <c r="F66" s="27" t="s">
        <v>590</v>
      </c>
      <c r="G66" s="5" t="s">
        <v>591</v>
      </c>
      <c r="H66" s="5" t="s">
        <v>592</v>
      </c>
      <c r="I66" s="12" t="s">
        <v>243</v>
      </c>
    </row>
    <row r="67" spans="1:9" x14ac:dyDescent="0.3">
      <c r="A67" s="9" t="s">
        <v>593</v>
      </c>
      <c r="B67" s="5" t="s">
        <v>594</v>
      </c>
      <c r="C67" s="5" t="s">
        <v>253</v>
      </c>
      <c r="D67" s="5" t="s">
        <v>490</v>
      </c>
      <c r="E67" s="26">
        <v>5796</v>
      </c>
      <c r="F67" s="27" t="s">
        <v>595</v>
      </c>
      <c r="G67" s="5" t="s">
        <v>596</v>
      </c>
      <c r="H67" s="5" t="s">
        <v>597</v>
      </c>
      <c r="I67" s="12" t="s">
        <v>243</v>
      </c>
    </row>
    <row r="68" spans="1:9" x14ac:dyDescent="0.3">
      <c r="A68" s="9" t="s">
        <v>598</v>
      </c>
      <c r="B68" s="5" t="s">
        <v>599</v>
      </c>
      <c r="C68" s="5" t="s">
        <v>286</v>
      </c>
      <c r="D68" s="5" t="s">
        <v>329</v>
      </c>
      <c r="E68" s="26">
        <v>6361</v>
      </c>
      <c r="F68" s="27" t="s">
        <v>600</v>
      </c>
      <c r="G68" s="5" t="s">
        <v>601</v>
      </c>
      <c r="H68" s="5" t="s">
        <v>602</v>
      </c>
      <c r="I68" s="12" t="s">
        <v>243</v>
      </c>
    </row>
    <row r="69" spans="1:9" x14ac:dyDescent="0.3">
      <c r="A69" s="9" t="s">
        <v>603</v>
      </c>
      <c r="B69" s="5" t="s">
        <v>604</v>
      </c>
      <c r="C69" s="5" t="s">
        <v>246</v>
      </c>
      <c r="D69" s="5" t="s">
        <v>506</v>
      </c>
      <c r="E69" s="26">
        <v>6814</v>
      </c>
      <c r="F69" s="27" t="s">
        <v>605</v>
      </c>
      <c r="G69" s="5" t="s">
        <v>606</v>
      </c>
      <c r="H69" s="5" t="s">
        <v>607</v>
      </c>
      <c r="I69" s="12" t="s">
        <v>243</v>
      </c>
    </row>
    <row r="70" spans="1:9" x14ac:dyDescent="0.3">
      <c r="A70" s="9" t="s">
        <v>608</v>
      </c>
      <c r="B70" s="5" t="s">
        <v>609</v>
      </c>
      <c r="C70" s="5" t="s">
        <v>274</v>
      </c>
      <c r="D70" s="5" t="s">
        <v>390</v>
      </c>
      <c r="E70" s="26">
        <v>5699</v>
      </c>
      <c r="F70" s="27" t="s">
        <v>610</v>
      </c>
      <c r="G70" s="5" t="s">
        <v>611</v>
      </c>
      <c r="H70" s="5" t="s">
        <v>612</v>
      </c>
      <c r="I70" s="12" t="s">
        <v>243</v>
      </c>
    </row>
    <row r="71" spans="1:9" x14ac:dyDescent="0.3">
      <c r="A71" s="9" t="s">
        <v>613</v>
      </c>
      <c r="B71" s="5" t="s">
        <v>614</v>
      </c>
      <c r="C71" s="5" t="s">
        <v>246</v>
      </c>
      <c r="D71" s="5" t="s">
        <v>247</v>
      </c>
      <c r="E71" s="26">
        <v>5412</v>
      </c>
      <c r="F71" s="27" t="s">
        <v>615</v>
      </c>
      <c r="G71" s="5" t="s">
        <v>616</v>
      </c>
      <c r="H71" s="5" t="s">
        <v>617</v>
      </c>
      <c r="I71" s="12" t="s">
        <v>243</v>
      </c>
    </row>
    <row r="72" spans="1:9" x14ac:dyDescent="0.3">
      <c r="A72" s="9" t="s">
        <v>618</v>
      </c>
      <c r="B72" s="5" t="s">
        <v>619</v>
      </c>
      <c r="C72" s="5" t="s">
        <v>260</v>
      </c>
      <c r="D72" s="5" t="s">
        <v>620</v>
      </c>
      <c r="E72" s="26">
        <v>6388</v>
      </c>
      <c r="F72" s="27" t="s">
        <v>621</v>
      </c>
      <c r="G72" s="5" t="s">
        <v>622</v>
      </c>
      <c r="H72" s="5" t="s">
        <v>623</v>
      </c>
      <c r="I72" s="12" t="s">
        <v>243</v>
      </c>
    </row>
    <row r="73" spans="1:9" x14ac:dyDescent="0.3">
      <c r="A73" s="9" t="s">
        <v>624</v>
      </c>
      <c r="B73" s="5" t="s">
        <v>625</v>
      </c>
      <c r="C73" s="5" t="s">
        <v>246</v>
      </c>
      <c r="D73" s="5" t="s">
        <v>427</v>
      </c>
      <c r="E73" s="26">
        <v>4217</v>
      </c>
      <c r="F73" s="27" t="s">
        <v>626</v>
      </c>
      <c r="G73" s="5" t="s">
        <v>627</v>
      </c>
      <c r="H73" s="5" t="s">
        <v>628</v>
      </c>
      <c r="I73" s="12" t="s">
        <v>243</v>
      </c>
    </row>
    <row r="74" spans="1:9" x14ac:dyDescent="0.3">
      <c r="A74" s="9" t="s">
        <v>629</v>
      </c>
      <c r="B74" s="5" t="s">
        <v>630</v>
      </c>
      <c r="C74" s="5" t="s">
        <v>246</v>
      </c>
      <c r="D74" s="5" t="s">
        <v>422</v>
      </c>
      <c r="E74" s="26">
        <v>5348</v>
      </c>
      <c r="F74" s="27" t="s">
        <v>631</v>
      </c>
      <c r="G74" s="5" t="s">
        <v>632</v>
      </c>
      <c r="H74" s="5" t="s">
        <v>633</v>
      </c>
      <c r="I74" s="12" t="s">
        <v>243</v>
      </c>
    </row>
    <row r="75" spans="1:9" x14ac:dyDescent="0.3">
      <c r="A75" s="9" t="s">
        <v>634</v>
      </c>
      <c r="B75" s="5" t="s">
        <v>635</v>
      </c>
      <c r="C75" s="5" t="s">
        <v>286</v>
      </c>
      <c r="D75" s="5" t="s">
        <v>293</v>
      </c>
      <c r="E75" s="26">
        <v>10085</v>
      </c>
      <c r="F75" s="27" t="s">
        <v>636</v>
      </c>
      <c r="G75" s="5" t="s">
        <v>637</v>
      </c>
      <c r="H75" s="5" t="s">
        <v>638</v>
      </c>
      <c r="I75" s="12" t="s">
        <v>243</v>
      </c>
    </row>
    <row r="76" spans="1:9" x14ac:dyDescent="0.3">
      <c r="A76" s="9" t="s">
        <v>639</v>
      </c>
      <c r="B76" s="5" t="s">
        <v>640</v>
      </c>
      <c r="C76" s="5" t="s">
        <v>286</v>
      </c>
      <c r="D76" s="5" t="s">
        <v>329</v>
      </c>
      <c r="E76" s="26">
        <v>5163</v>
      </c>
      <c r="F76" s="27" t="s">
        <v>641</v>
      </c>
      <c r="G76" s="5" t="s">
        <v>642</v>
      </c>
      <c r="H76" s="5" t="s">
        <v>643</v>
      </c>
      <c r="I76" s="12" t="s">
        <v>243</v>
      </c>
    </row>
    <row r="77" spans="1:9" x14ac:dyDescent="0.3">
      <c r="A77" s="9" t="s">
        <v>644</v>
      </c>
      <c r="B77" s="5" t="s">
        <v>645</v>
      </c>
      <c r="C77" s="5" t="s">
        <v>253</v>
      </c>
      <c r="D77" s="5" t="s">
        <v>254</v>
      </c>
      <c r="E77" s="26">
        <v>7413</v>
      </c>
      <c r="F77" s="27" t="s">
        <v>646</v>
      </c>
      <c r="G77" s="5" t="s">
        <v>647</v>
      </c>
      <c r="H77" s="5" t="s">
        <v>648</v>
      </c>
      <c r="I77" s="12" t="s">
        <v>243</v>
      </c>
    </row>
    <row r="78" spans="1:9" x14ac:dyDescent="0.3">
      <c r="A78" s="9" t="s">
        <v>649</v>
      </c>
      <c r="B78" s="5" t="s">
        <v>650</v>
      </c>
      <c r="C78" s="5" t="s">
        <v>274</v>
      </c>
      <c r="D78" s="5" t="s">
        <v>432</v>
      </c>
      <c r="E78" s="26">
        <v>9650</v>
      </c>
      <c r="F78" s="27" t="s">
        <v>651</v>
      </c>
      <c r="G78" s="5" t="s">
        <v>652</v>
      </c>
      <c r="H78" s="5" t="s">
        <v>653</v>
      </c>
      <c r="I78" s="12" t="s">
        <v>243</v>
      </c>
    </row>
    <row r="79" spans="1:9" x14ac:dyDescent="0.3">
      <c r="A79" s="9" t="s">
        <v>654</v>
      </c>
      <c r="B79" s="5" t="s">
        <v>655</v>
      </c>
      <c r="C79" s="5" t="s">
        <v>238</v>
      </c>
      <c r="D79" s="5" t="s">
        <v>239</v>
      </c>
      <c r="E79" s="26">
        <v>7413</v>
      </c>
      <c r="F79" s="27" t="s">
        <v>656</v>
      </c>
      <c r="G79" s="5" t="s">
        <v>657</v>
      </c>
      <c r="H79" s="5" t="s">
        <v>658</v>
      </c>
      <c r="I79" s="12" t="s">
        <v>243</v>
      </c>
    </row>
    <row r="80" spans="1:9" x14ac:dyDescent="0.3">
      <c r="A80" s="9" t="s">
        <v>659</v>
      </c>
      <c r="B80" s="5" t="s">
        <v>660</v>
      </c>
      <c r="C80" s="5" t="s">
        <v>253</v>
      </c>
      <c r="D80" s="5" t="s">
        <v>490</v>
      </c>
      <c r="E80" s="26">
        <v>5669</v>
      </c>
      <c r="F80" s="27" t="s">
        <v>661</v>
      </c>
      <c r="G80" s="5" t="s">
        <v>662</v>
      </c>
      <c r="H80" s="5" t="s">
        <v>663</v>
      </c>
      <c r="I80" s="12" t="s">
        <v>243</v>
      </c>
    </row>
    <row r="81" spans="1:9" x14ac:dyDescent="0.3">
      <c r="A81" s="9" t="s">
        <v>664</v>
      </c>
      <c r="B81" s="5" t="s">
        <v>665</v>
      </c>
      <c r="C81" s="5" t="s">
        <v>246</v>
      </c>
      <c r="D81" s="5" t="s">
        <v>506</v>
      </c>
      <c r="E81" s="26">
        <v>4195</v>
      </c>
      <c r="F81" s="27" t="s">
        <v>666</v>
      </c>
      <c r="G81" s="5" t="s">
        <v>667</v>
      </c>
      <c r="H81" s="5" t="s">
        <v>668</v>
      </c>
      <c r="I81" s="12" t="s">
        <v>243</v>
      </c>
    </row>
    <row r="82" spans="1:9" x14ac:dyDescent="0.3">
      <c r="A82" s="9" t="s">
        <v>669</v>
      </c>
      <c r="B82" s="5" t="s">
        <v>670</v>
      </c>
      <c r="C82" s="5" t="s">
        <v>260</v>
      </c>
      <c r="D82" s="5" t="s">
        <v>261</v>
      </c>
      <c r="E82" s="26">
        <v>3084</v>
      </c>
      <c r="F82" s="27" t="s">
        <v>671</v>
      </c>
      <c r="G82" s="5" t="s">
        <v>672</v>
      </c>
      <c r="H82" s="5" t="s">
        <v>673</v>
      </c>
      <c r="I82" s="12" t="s">
        <v>243</v>
      </c>
    </row>
    <row r="83" spans="1:9" x14ac:dyDescent="0.3">
      <c r="A83" s="9" t="s">
        <v>674</v>
      </c>
      <c r="B83" s="5" t="s">
        <v>675</v>
      </c>
      <c r="C83" s="5" t="s">
        <v>253</v>
      </c>
      <c r="D83" s="5" t="s">
        <v>490</v>
      </c>
      <c r="E83" s="26">
        <v>6306</v>
      </c>
      <c r="F83" s="27" t="s">
        <v>676</v>
      </c>
      <c r="G83" s="5" t="s">
        <v>677</v>
      </c>
      <c r="H83" s="5" t="s">
        <v>678</v>
      </c>
      <c r="I83" s="12" t="s">
        <v>243</v>
      </c>
    </row>
    <row r="84" spans="1:9" x14ac:dyDescent="0.3">
      <c r="A84" s="9" t="s">
        <v>679</v>
      </c>
      <c r="B84" s="5" t="s">
        <v>680</v>
      </c>
      <c r="C84" s="5" t="s">
        <v>253</v>
      </c>
      <c r="D84" s="5" t="s">
        <v>490</v>
      </c>
      <c r="E84" s="26">
        <v>3806</v>
      </c>
      <c r="F84" s="27" t="s">
        <v>681</v>
      </c>
      <c r="G84" s="5" t="s">
        <v>682</v>
      </c>
      <c r="H84" s="5" t="s">
        <v>683</v>
      </c>
      <c r="I84" s="12" t="s">
        <v>243</v>
      </c>
    </row>
    <row r="85" spans="1:9" x14ac:dyDescent="0.3">
      <c r="A85" s="9" t="s">
        <v>684</v>
      </c>
      <c r="B85" s="5" t="s">
        <v>685</v>
      </c>
      <c r="C85" s="5" t="s">
        <v>260</v>
      </c>
      <c r="D85" s="5" t="s">
        <v>686</v>
      </c>
      <c r="E85" s="26">
        <v>10469</v>
      </c>
      <c r="F85" s="27" t="s">
        <v>687</v>
      </c>
      <c r="G85" s="5" t="s">
        <v>688</v>
      </c>
      <c r="H85" s="5" t="s">
        <v>689</v>
      </c>
      <c r="I85" s="12" t="s">
        <v>243</v>
      </c>
    </row>
    <row r="86" spans="1:9" x14ac:dyDescent="0.3">
      <c r="A86" s="9" t="s">
        <v>690</v>
      </c>
      <c r="B86" s="5" t="s">
        <v>691</v>
      </c>
      <c r="C86" s="5" t="s">
        <v>253</v>
      </c>
      <c r="D86" s="5" t="s">
        <v>254</v>
      </c>
      <c r="E86" s="26">
        <v>5883</v>
      </c>
      <c r="F86" s="27" t="s">
        <v>692</v>
      </c>
      <c r="G86" s="5" t="s">
        <v>693</v>
      </c>
      <c r="H86" s="5" t="s">
        <v>694</v>
      </c>
      <c r="I86" s="12" t="s">
        <v>243</v>
      </c>
    </row>
    <row r="87" spans="1:9" x14ac:dyDescent="0.3">
      <c r="A87" s="9" t="s">
        <v>695</v>
      </c>
      <c r="B87" s="5" t="s">
        <v>609</v>
      </c>
      <c r="C87" s="5" t="s">
        <v>267</v>
      </c>
      <c r="D87" s="5" t="s">
        <v>384</v>
      </c>
      <c r="E87" s="26">
        <v>6526</v>
      </c>
      <c r="F87" s="27" t="s">
        <v>696</v>
      </c>
      <c r="G87" s="5" t="s">
        <v>611</v>
      </c>
      <c r="H87" s="5" t="s">
        <v>697</v>
      </c>
      <c r="I87" s="12" t="s">
        <v>243</v>
      </c>
    </row>
    <row r="88" spans="1:9" x14ac:dyDescent="0.3">
      <c r="A88" s="9" t="s">
        <v>698</v>
      </c>
      <c r="B88" s="5" t="s">
        <v>699</v>
      </c>
      <c r="C88" s="5" t="s">
        <v>238</v>
      </c>
      <c r="D88" s="5" t="s">
        <v>367</v>
      </c>
      <c r="E88" s="26">
        <v>6494</v>
      </c>
      <c r="F88" s="27" t="s">
        <v>700</v>
      </c>
      <c r="G88" s="5" t="s">
        <v>701</v>
      </c>
      <c r="H88" s="5" t="s">
        <v>702</v>
      </c>
      <c r="I88" s="12" t="s">
        <v>243</v>
      </c>
    </row>
    <row r="89" spans="1:9" x14ac:dyDescent="0.3">
      <c r="A89" s="9" t="s">
        <v>703</v>
      </c>
      <c r="B89" s="5" t="s">
        <v>704</v>
      </c>
      <c r="C89" s="5" t="s">
        <v>286</v>
      </c>
      <c r="D89" s="5" t="s">
        <v>293</v>
      </c>
      <c r="E89" s="26">
        <v>7609</v>
      </c>
      <c r="F89" s="27" t="s">
        <v>705</v>
      </c>
      <c r="G89" s="5" t="s">
        <v>706</v>
      </c>
      <c r="H89" s="5" t="s">
        <v>707</v>
      </c>
      <c r="I89" s="12" t="s">
        <v>243</v>
      </c>
    </row>
    <row r="90" spans="1:9" x14ac:dyDescent="0.3">
      <c r="A90" s="9" t="s">
        <v>708</v>
      </c>
      <c r="B90" s="5" t="s">
        <v>709</v>
      </c>
      <c r="C90" s="5" t="s">
        <v>238</v>
      </c>
      <c r="D90" s="5" t="s">
        <v>367</v>
      </c>
      <c r="E90" s="26">
        <v>4344</v>
      </c>
      <c r="F90" s="27" t="s">
        <v>396</v>
      </c>
      <c r="G90" s="5" t="s">
        <v>710</v>
      </c>
      <c r="H90" s="5" t="s">
        <v>711</v>
      </c>
      <c r="I90" s="12" t="s">
        <v>243</v>
      </c>
    </row>
    <row r="91" spans="1:9" x14ac:dyDescent="0.3">
      <c r="A91" s="9" t="s">
        <v>712</v>
      </c>
      <c r="B91" s="5" t="s">
        <v>713</v>
      </c>
      <c r="C91" s="5" t="s">
        <v>246</v>
      </c>
      <c r="D91" s="5" t="s">
        <v>427</v>
      </c>
      <c r="E91" s="26">
        <v>5416</v>
      </c>
      <c r="F91" s="27" t="s">
        <v>714</v>
      </c>
      <c r="G91" s="5" t="s">
        <v>715</v>
      </c>
      <c r="H91" s="5" t="s">
        <v>716</v>
      </c>
      <c r="I91" s="12" t="s">
        <v>243</v>
      </c>
    </row>
    <row r="92" spans="1:9" x14ac:dyDescent="0.3">
      <c r="A92" s="9" t="s">
        <v>717</v>
      </c>
      <c r="B92" s="5" t="s">
        <v>718</v>
      </c>
      <c r="C92" s="5" t="s">
        <v>286</v>
      </c>
      <c r="D92" s="5" t="s">
        <v>401</v>
      </c>
      <c r="E92" s="26">
        <v>3838</v>
      </c>
      <c r="F92" s="27" t="s">
        <v>719</v>
      </c>
      <c r="G92" s="5" t="s">
        <v>720</v>
      </c>
      <c r="H92" s="5" t="s">
        <v>721</v>
      </c>
      <c r="I92" s="12" t="s">
        <v>344</v>
      </c>
    </row>
    <row r="93" spans="1:9" x14ac:dyDescent="0.3">
      <c r="A93" s="9" t="s">
        <v>722</v>
      </c>
      <c r="B93" s="5" t="s">
        <v>723</v>
      </c>
      <c r="C93" s="5" t="s">
        <v>274</v>
      </c>
      <c r="D93" s="5" t="s">
        <v>340</v>
      </c>
      <c r="E93" s="26">
        <v>4103</v>
      </c>
      <c r="F93" s="27" t="s">
        <v>724</v>
      </c>
      <c r="G93" s="5" t="s">
        <v>725</v>
      </c>
      <c r="H93" s="5" t="s">
        <v>726</v>
      </c>
      <c r="I93" s="12" t="s">
        <v>243</v>
      </c>
    </row>
    <row r="94" spans="1:9" x14ac:dyDescent="0.3">
      <c r="A94" s="9" t="s">
        <v>727</v>
      </c>
      <c r="B94" s="5" t="s">
        <v>728</v>
      </c>
      <c r="C94" s="5" t="s">
        <v>274</v>
      </c>
      <c r="D94" s="5" t="s">
        <v>390</v>
      </c>
      <c r="E94" s="26">
        <v>5233</v>
      </c>
      <c r="F94" s="27" t="s">
        <v>729</v>
      </c>
      <c r="G94" s="5" t="s">
        <v>730</v>
      </c>
      <c r="H94" s="5" t="s">
        <v>731</v>
      </c>
      <c r="I94" s="12" t="s">
        <v>243</v>
      </c>
    </row>
    <row r="95" spans="1:9" x14ac:dyDescent="0.3">
      <c r="A95" s="9" t="s">
        <v>732</v>
      </c>
      <c r="B95" s="5" t="s">
        <v>733</v>
      </c>
      <c r="C95" s="5" t="s">
        <v>246</v>
      </c>
      <c r="D95" s="5" t="s">
        <v>247</v>
      </c>
      <c r="E95" s="26">
        <v>7079</v>
      </c>
      <c r="F95" s="27" t="s">
        <v>734</v>
      </c>
      <c r="G95" s="5" t="s">
        <v>735</v>
      </c>
      <c r="H95" s="5" t="s">
        <v>736</v>
      </c>
      <c r="I95" s="12" t="s">
        <v>243</v>
      </c>
    </row>
    <row r="96" spans="1:9" x14ac:dyDescent="0.3">
      <c r="A96" s="9" t="s">
        <v>737</v>
      </c>
      <c r="B96" s="5" t="s">
        <v>738</v>
      </c>
      <c r="C96" s="5" t="s">
        <v>286</v>
      </c>
      <c r="D96" s="5" t="s">
        <v>287</v>
      </c>
      <c r="E96" s="26">
        <v>6935</v>
      </c>
      <c r="F96" s="27" t="s">
        <v>739</v>
      </c>
      <c r="G96" s="5" t="s">
        <v>740</v>
      </c>
      <c r="H96" s="5" t="s">
        <v>741</v>
      </c>
      <c r="I96" s="12" t="s">
        <v>243</v>
      </c>
    </row>
    <row r="97" spans="1:9" x14ac:dyDescent="0.3">
      <c r="A97" s="9" t="s">
        <v>742</v>
      </c>
      <c r="B97" s="5" t="s">
        <v>505</v>
      </c>
      <c r="C97" s="5" t="s">
        <v>267</v>
      </c>
      <c r="D97" s="5" t="s">
        <v>299</v>
      </c>
      <c r="E97" s="26">
        <v>7415</v>
      </c>
      <c r="F97" s="27" t="s">
        <v>743</v>
      </c>
      <c r="G97" s="5" t="s">
        <v>508</v>
      </c>
      <c r="H97" s="5" t="s">
        <v>744</v>
      </c>
      <c r="I97" s="12" t="s">
        <v>243</v>
      </c>
    </row>
    <row r="98" spans="1:9" x14ac:dyDescent="0.3">
      <c r="A98" s="9" t="s">
        <v>745</v>
      </c>
      <c r="B98" s="5" t="s">
        <v>746</v>
      </c>
      <c r="C98" s="5" t="s">
        <v>253</v>
      </c>
      <c r="D98" s="5" t="s">
        <v>490</v>
      </c>
      <c r="E98" s="26">
        <v>5767</v>
      </c>
      <c r="F98" s="27" t="s">
        <v>747</v>
      </c>
      <c r="G98" s="5" t="s">
        <v>748</v>
      </c>
      <c r="H98" s="5" t="s">
        <v>749</v>
      </c>
      <c r="I98" s="12" t="s">
        <v>243</v>
      </c>
    </row>
    <row r="99" spans="1:9" x14ac:dyDescent="0.3">
      <c r="A99" s="9" t="s">
        <v>750</v>
      </c>
      <c r="B99" s="5" t="s">
        <v>751</v>
      </c>
      <c r="C99" s="5" t="s">
        <v>238</v>
      </c>
      <c r="D99" s="5" t="s">
        <v>323</v>
      </c>
      <c r="E99" s="26">
        <v>4996</v>
      </c>
      <c r="F99" s="27" t="s">
        <v>752</v>
      </c>
      <c r="G99" s="5" t="s">
        <v>753</v>
      </c>
      <c r="H99" s="5" t="s">
        <v>754</v>
      </c>
      <c r="I99" s="12" t="s">
        <v>243</v>
      </c>
    </row>
    <row r="100" spans="1:9" x14ac:dyDescent="0.3">
      <c r="A100" s="9" t="s">
        <v>755</v>
      </c>
      <c r="B100" s="5" t="s">
        <v>756</v>
      </c>
      <c r="C100" s="5" t="s">
        <v>286</v>
      </c>
      <c r="D100" s="5" t="s">
        <v>287</v>
      </c>
      <c r="E100" s="26">
        <v>9191</v>
      </c>
      <c r="F100" s="27" t="s">
        <v>757</v>
      </c>
      <c r="G100" s="5" t="s">
        <v>758</v>
      </c>
      <c r="H100" s="5" t="s">
        <v>759</v>
      </c>
      <c r="I100" s="12" t="s">
        <v>344</v>
      </c>
    </row>
    <row r="101" spans="1:9" x14ac:dyDescent="0.3">
      <c r="A101" s="10" t="s">
        <v>760</v>
      </c>
      <c r="B101" s="6" t="s">
        <v>761</v>
      </c>
      <c r="C101" s="6" t="s">
        <v>260</v>
      </c>
      <c r="D101" s="6" t="s">
        <v>686</v>
      </c>
      <c r="E101" s="28">
        <v>7255</v>
      </c>
      <c r="F101" s="29" t="s">
        <v>762</v>
      </c>
      <c r="G101" s="6" t="s">
        <v>763</v>
      </c>
      <c r="H101" s="6" t="s">
        <v>764</v>
      </c>
      <c r="I101" s="13" t="s">
        <v>243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4CAB-E976-4B32-BEDC-6758935F7F9F}">
  <sheetPr>
    <tabColor rgb="FFFFC000"/>
  </sheetPr>
  <dimension ref="A1:F101"/>
  <sheetViews>
    <sheetView workbookViewId="0"/>
  </sheetViews>
  <sheetFormatPr defaultRowHeight="14.4" x14ac:dyDescent="0.3"/>
  <cols>
    <col min="1" max="1" width="18.5546875" customWidth="1"/>
    <col min="2" max="2" width="14.77734375" customWidth="1"/>
    <col min="3" max="3" width="16.6640625" customWidth="1"/>
    <col min="4" max="4" width="18.5546875" customWidth="1"/>
    <col min="5" max="5" width="14.77734375" customWidth="1"/>
    <col min="6" max="6" width="18.5546875" customWidth="1"/>
  </cols>
  <sheetData>
    <row r="1" spans="1:6" x14ac:dyDescent="0.3">
      <c r="A1" s="4" t="s">
        <v>1015</v>
      </c>
      <c r="B1" s="4" t="s">
        <v>1016</v>
      </c>
      <c r="C1" s="4" t="s">
        <v>969</v>
      </c>
      <c r="D1" s="4" t="s">
        <v>1017</v>
      </c>
      <c r="E1" s="4" t="s">
        <v>970</v>
      </c>
      <c r="F1" s="4" t="s">
        <v>1018</v>
      </c>
    </row>
    <row r="2" spans="1:6" x14ac:dyDescent="0.3">
      <c r="A2" s="25" t="s">
        <v>1019</v>
      </c>
      <c r="B2" t="s">
        <v>1020</v>
      </c>
      <c r="C2" t="s">
        <v>979</v>
      </c>
      <c r="D2" t="s">
        <v>1021</v>
      </c>
      <c r="E2" s="24">
        <v>19</v>
      </c>
      <c r="F2" s="24">
        <v>2850</v>
      </c>
    </row>
    <row r="3" spans="1:6" x14ac:dyDescent="0.3">
      <c r="A3" s="25" t="s">
        <v>1022</v>
      </c>
      <c r="B3" t="s">
        <v>1020</v>
      </c>
      <c r="C3" t="s">
        <v>979</v>
      </c>
      <c r="D3" t="s">
        <v>1023</v>
      </c>
      <c r="E3" s="24">
        <v>9</v>
      </c>
      <c r="F3" s="24">
        <v>1350</v>
      </c>
    </row>
    <row r="4" spans="1:6" x14ac:dyDescent="0.3">
      <c r="A4" s="25" t="s">
        <v>1024</v>
      </c>
      <c r="B4" t="s">
        <v>1020</v>
      </c>
      <c r="C4" t="s">
        <v>974</v>
      </c>
      <c r="D4" t="s">
        <v>1025</v>
      </c>
      <c r="E4" s="24">
        <v>11</v>
      </c>
      <c r="F4" s="24">
        <v>38500</v>
      </c>
    </row>
    <row r="5" spans="1:6" x14ac:dyDescent="0.3">
      <c r="A5" s="25" t="s">
        <v>1026</v>
      </c>
      <c r="B5" t="s">
        <v>1027</v>
      </c>
      <c r="C5" t="s">
        <v>982</v>
      </c>
      <c r="D5" t="s">
        <v>1025</v>
      </c>
      <c r="E5" s="24">
        <v>15</v>
      </c>
      <c r="F5" s="24">
        <v>1200</v>
      </c>
    </row>
    <row r="6" spans="1:6" x14ac:dyDescent="0.3">
      <c r="A6" s="25" t="s">
        <v>1028</v>
      </c>
      <c r="B6" t="s">
        <v>1029</v>
      </c>
      <c r="C6" t="s">
        <v>1030</v>
      </c>
      <c r="D6" t="s">
        <v>1031</v>
      </c>
      <c r="E6" s="24">
        <v>16</v>
      </c>
      <c r="F6" s="24">
        <v>3200</v>
      </c>
    </row>
    <row r="7" spans="1:6" x14ac:dyDescent="0.3">
      <c r="A7" s="25" t="s">
        <v>1028</v>
      </c>
      <c r="B7" t="s">
        <v>1020</v>
      </c>
      <c r="C7" t="s">
        <v>986</v>
      </c>
      <c r="D7" t="s">
        <v>1032</v>
      </c>
      <c r="E7" s="24">
        <v>6</v>
      </c>
      <c r="F7" s="24">
        <v>3600</v>
      </c>
    </row>
    <row r="8" spans="1:6" x14ac:dyDescent="0.3">
      <c r="A8" s="25" t="s">
        <v>1033</v>
      </c>
      <c r="B8" t="s">
        <v>1029</v>
      </c>
      <c r="C8" t="s">
        <v>977</v>
      </c>
      <c r="D8" t="s">
        <v>1034</v>
      </c>
      <c r="E8" s="24">
        <v>5</v>
      </c>
      <c r="F8" s="24">
        <v>4000</v>
      </c>
    </row>
    <row r="9" spans="1:6" x14ac:dyDescent="0.3">
      <c r="A9" s="25" t="s">
        <v>1035</v>
      </c>
      <c r="B9" t="s">
        <v>1020</v>
      </c>
      <c r="C9" t="s">
        <v>977</v>
      </c>
      <c r="D9" t="s">
        <v>1025</v>
      </c>
      <c r="E9" s="24">
        <v>12</v>
      </c>
      <c r="F9" s="24">
        <v>9600</v>
      </c>
    </row>
    <row r="10" spans="1:6" x14ac:dyDescent="0.3">
      <c r="A10" s="25" t="s">
        <v>1036</v>
      </c>
      <c r="B10" t="s">
        <v>1020</v>
      </c>
      <c r="C10" t="s">
        <v>1037</v>
      </c>
      <c r="D10" t="s">
        <v>1025</v>
      </c>
      <c r="E10" s="24">
        <v>8</v>
      </c>
      <c r="F10" s="24">
        <v>22400</v>
      </c>
    </row>
    <row r="11" spans="1:6" x14ac:dyDescent="0.3">
      <c r="A11" s="25" t="s">
        <v>1038</v>
      </c>
      <c r="B11" t="s">
        <v>1020</v>
      </c>
      <c r="C11" t="s">
        <v>979</v>
      </c>
      <c r="D11" t="s">
        <v>1039</v>
      </c>
      <c r="E11" s="24">
        <v>3</v>
      </c>
      <c r="F11" s="24">
        <v>450</v>
      </c>
    </row>
    <row r="12" spans="1:6" x14ac:dyDescent="0.3">
      <c r="A12" s="25" t="s">
        <v>1040</v>
      </c>
      <c r="B12" t="s">
        <v>1027</v>
      </c>
      <c r="C12" t="s">
        <v>974</v>
      </c>
      <c r="D12" t="s">
        <v>1021</v>
      </c>
      <c r="E12" s="24">
        <v>8</v>
      </c>
      <c r="F12" s="24">
        <v>28000</v>
      </c>
    </row>
    <row r="13" spans="1:6" x14ac:dyDescent="0.3">
      <c r="A13" s="25" t="s">
        <v>1041</v>
      </c>
      <c r="B13" t="s">
        <v>1029</v>
      </c>
      <c r="C13" t="s">
        <v>986</v>
      </c>
      <c r="D13" t="s">
        <v>1031</v>
      </c>
      <c r="E13" s="24">
        <v>18</v>
      </c>
      <c r="F13" s="24">
        <v>10800</v>
      </c>
    </row>
    <row r="14" spans="1:6" x14ac:dyDescent="0.3">
      <c r="A14" s="25" t="s">
        <v>1042</v>
      </c>
      <c r="B14" t="s">
        <v>1020</v>
      </c>
      <c r="C14" t="s">
        <v>1043</v>
      </c>
      <c r="D14" t="s">
        <v>1021</v>
      </c>
      <c r="E14" s="24">
        <v>20</v>
      </c>
      <c r="F14" s="24">
        <v>9000</v>
      </c>
    </row>
    <row r="15" spans="1:6" x14ac:dyDescent="0.3">
      <c r="A15" s="25" t="s">
        <v>1044</v>
      </c>
      <c r="B15" t="s">
        <v>1027</v>
      </c>
      <c r="C15" t="s">
        <v>979</v>
      </c>
      <c r="D15" t="s">
        <v>1031</v>
      </c>
      <c r="E15" s="24">
        <v>6</v>
      </c>
      <c r="F15" s="24">
        <v>900</v>
      </c>
    </row>
    <row r="16" spans="1:6" x14ac:dyDescent="0.3">
      <c r="A16" s="25" t="s">
        <v>1045</v>
      </c>
      <c r="B16" t="s">
        <v>1046</v>
      </c>
      <c r="C16" t="s">
        <v>986</v>
      </c>
      <c r="D16" t="s">
        <v>1032</v>
      </c>
      <c r="E16" s="24">
        <v>10</v>
      </c>
      <c r="F16" s="24">
        <v>6000</v>
      </c>
    </row>
    <row r="17" spans="1:6" x14ac:dyDescent="0.3">
      <c r="A17" s="25" t="s">
        <v>1047</v>
      </c>
      <c r="B17" t="s">
        <v>1027</v>
      </c>
      <c r="C17" t="s">
        <v>982</v>
      </c>
      <c r="D17" t="s">
        <v>1021</v>
      </c>
      <c r="E17" s="24">
        <v>12</v>
      </c>
      <c r="F17" s="24">
        <v>960</v>
      </c>
    </row>
    <row r="18" spans="1:6" x14ac:dyDescent="0.3">
      <c r="A18" s="25" t="s">
        <v>1048</v>
      </c>
      <c r="B18" t="s">
        <v>1049</v>
      </c>
      <c r="C18" t="s">
        <v>982</v>
      </c>
      <c r="D18" t="s">
        <v>1021</v>
      </c>
      <c r="E18" s="24">
        <v>6</v>
      </c>
      <c r="F18" s="24">
        <v>480</v>
      </c>
    </row>
    <row r="19" spans="1:6" x14ac:dyDescent="0.3">
      <c r="A19" s="25" t="s">
        <v>1050</v>
      </c>
      <c r="B19" t="s">
        <v>1046</v>
      </c>
      <c r="C19" t="s">
        <v>1030</v>
      </c>
      <c r="D19" t="s">
        <v>1051</v>
      </c>
      <c r="E19" s="24">
        <v>12</v>
      </c>
      <c r="F19" s="24">
        <v>2400</v>
      </c>
    </row>
    <row r="20" spans="1:6" x14ac:dyDescent="0.3">
      <c r="A20" s="25" t="s">
        <v>1052</v>
      </c>
      <c r="B20" t="s">
        <v>1027</v>
      </c>
      <c r="C20" t="s">
        <v>986</v>
      </c>
      <c r="D20" t="s">
        <v>1031</v>
      </c>
      <c r="E20" s="24">
        <v>7</v>
      </c>
      <c r="F20" s="24">
        <v>4200</v>
      </c>
    </row>
    <row r="21" spans="1:6" x14ac:dyDescent="0.3">
      <c r="A21" s="25" t="s">
        <v>1053</v>
      </c>
      <c r="B21" t="s">
        <v>1049</v>
      </c>
      <c r="C21" t="s">
        <v>1043</v>
      </c>
      <c r="D21" t="s">
        <v>1023</v>
      </c>
      <c r="E21" s="24">
        <v>9</v>
      </c>
      <c r="F21" s="24">
        <v>4050</v>
      </c>
    </row>
    <row r="22" spans="1:6" x14ac:dyDescent="0.3">
      <c r="A22" s="25" t="s">
        <v>1054</v>
      </c>
      <c r="B22" t="s">
        <v>1027</v>
      </c>
      <c r="C22" t="s">
        <v>977</v>
      </c>
      <c r="D22" t="s">
        <v>1039</v>
      </c>
      <c r="E22" s="24">
        <v>16</v>
      </c>
      <c r="F22" s="24">
        <v>12800</v>
      </c>
    </row>
    <row r="23" spans="1:6" x14ac:dyDescent="0.3">
      <c r="A23" s="25" t="s">
        <v>1055</v>
      </c>
      <c r="B23" t="s">
        <v>1029</v>
      </c>
      <c r="C23" t="s">
        <v>986</v>
      </c>
      <c r="D23" t="s">
        <v>1056</v>
      </c>
      <c r="E23" s="24">
        <v>9</v>
      </c>
      <c r="F23" s="24">
        <v>5400</v>
      </c>
    </row>
    <row r="24" spans="1:6" x14ac:dyDescent="0.3">
      <c r="A24" s="25" t="s">
        <v>1057</v>
      </c>
      <c r="B24" t="s">
        <v>1027</v>
      </c>
      <c r="C24" t="s">
        <v>982</v>
      </c>
      <c r="D24" t="s">
        <v>1056</v>
      </c>
      <c r="E24" s="24">
        <v>4</v>
      </c>
      <c r="F24" s="24">
        <v>320</v>
      </c>
    </row>
    <row r="25" spans="1:6" x14ac:dyDescent="0.3">
      <c r="A25" s="25" t="s">
        <v>1058</v>
      </c>
      <c r="B25" t="s">
        <v>1020</v>
      </c>
      <c r="C25" t="s">
        <v>974</v>
      </c>
      <c r="D25" t="s">
        <v>1032</v>
      </c>
      <c r="E25" s="24">
        <v>12</v>
      </c>
      <c r="F25" s="24">
        <v>42000</v>
      </c>
    </row>
    <row r="26" spans="1:6" x14ac:dyDescent="0.3">
      <c r="A26" s="25" t="s">
        <v>1059</v>
      </c>
      <c r="B26" t="s">
        <v>1049</v>
      </c>
      <c r="C26" t="s">
        <v>979</v>
      </c>
      <c r="D26" t="s">
        <v>1031</v>
      </c>
      <c r="E26" s="24">
        <v>17</v>
      </c>
      <c r="F26" s="24">
        <v>2550</v>
      </c>
    </row>
    <row r="27" spans="1:6" x14ac:dyDescent="0.3">
      <c r="A27" s="25" t="s">
        <v>1060</v>
      </c>
      <c r="B27" t="s">
        <v>1020</v>
      </c>
      <c r="C27" t="s">
        <v>977</v>
      </c>
      <c r="D27" t="s">
        <v>1039</v>
      </c>
      <c r="E27" s="24">
        <v>4</v>
      </c>
      <c r="F27" s="24">
        <v>3200</v>
      </c>
    </row>
    <row r="28" spans="1:6" x14ac:dyDescent="0.3">
      <c r="A28" s="25" t="s">
        <v>1047</v>
      </c>
      <c r="B28" t="s">
        <v>1046</v>
      </c>
      <c r="C28" t="s">
        <v>982</v>
      </c>
      <c r="D28" t="s">
        <v>1056</v>
      </c>
      <c r="E28" s="24">
        <v>16</v>
      </c>
      <c r="F28" s="24">
        <v>1280</v>
      </c>
    </row>
    <row r="29" spans="1:6" x14ac:dyDescent="0.3">
      <c r="A29" s="25" t="s">
        <v>1061</v>
      </c>
      <c r="B29" t="s">
        <v>1027</v>
      </c>
      <c r="C29" t="s">
        <v>979</v>
      </c>
      <c r="D29" t="s">
        <v>1021</v>
      </c>
      <c r="E29" s="24">
        <v>7</v>
      </c>
      <c r="F29" s="24">
        <v>1050</v>
      </c>
    </row>
    <row r="30" spans="1:6" x14ac:dyDescent="0.3">
      <c r="A30" s="25" t="s">
        <v>1062</v>
      </c>
      <c r="B30" t="s">
        <v>1027</v>
      </c>
      <c r="C30" t="s">
        <v>1043</v>
      </c>
      <c r="D30" t="s">
        <v>1039</v>
      </c>
      <c r="E30" s="24">
        <v>17</v>
      </c>
      <c r="F30" s="24">
        <v>7650</v>
      </c>
    </row>
    <row r="31" spans="1:6" x14ac:dyDescent="0.3">
      <c r="A31" s="25" t="s">
        <v>1063</v>
      </c>
      <c r="B31" t="s">
        <v>1020</v>
      </c>
      <c r="C31" t="s">
        <v>974</v>
      </c>
      <c r="D31" t="s">
        <v>1039</v>
      </c>
      <c r="E31" s="24">
        <v>20</v>
      </c>
      <c r="F31" s="24">
        <v>70000</v>
      </c>
    </row>
    <row r="32" spans="1:6" x14ac:dyDescent="0.3">
      <c r="A32" s="25" t="s">
        <v>1061</v>
      </c>
      <c r="B32" t="s">
        <v>1027</v>
      </c>
      <c r="C32" t="s">
        <v>1037</v>
      </c>
      <c r="D32" t="s">
        <v>1064</v>
      </c>
      <c r="E32" s="24">
        <v>4</v>
      </c>
      <c r="F32" s="24">
        <v>11200</v>
      </c>
    </row>
    <row r="33" spans="1:6" x14ac:dyDescent="0.3">
      <c r="A33" s="25" t="s">
        <v>1065</v>
      </c>
      <c r="B33" t="s">
        <v>1046</v>
      </c>
      <c r="C33" t="s">
        <v>977</v>
      </c>
      <c r="D33" t="s">
        <v>1064</v>
      </c>
      <c r="E33" s="24">
        <v>1</v>
      </c>
      <c r="F33" s="24">
        <v>800</v>
      </c>
    </row>
    <row r="34" spans="1:6" x14ac:dyDescent="0.3">
      <c r="A34" s="25" t="s">
        <v>1066</v>
      </c>
      <c r="B34" t="s">
        <v>1027</v>
      </c>
      <c r="C34" t="s">
        <v>977</v>
      </c>
      <c r="D34" t="s">
        <v>1034</v>
      </c>
      <c r="E34" s="24">
        <v>5</v>
      </c>
      <c r="F34" s="24">
        <v>4000</v>
      </c>
    </row>
    <row r="35" spans="1:6" x14ac:dyDescent="0.3">
      <c r="A35" s="25" t="s">
        <v>1067</v>
      </c>
      <c r="B35" t="s">
        <v>1020</v>
      </c>
      <c r="C35" t="s">
        <v>1043</v>
      </c>
      <c r="D35" t="s">
        <v>1021</v>
      </c>
      <c r="E35" s="24">
        <v>17</v>
      </c>
      <c r="F35" s="24">
        <v>7650</v>
      </c>
    </row>
    <row r="36" spans="1:6" x14ac:dyDescent="0.3">
      <c r="A36" s="25" t="s">
        <v>1053</v>
      </c>
      <c r="B36" t="s">
        <v>1020</v>
      </c>
      <c r="C36" t="s">
        <v>1043</v>
      </c>
      <c r="D36" t="s">
        <v>1039</v>
      </c>
      <c r="E36" s="24">
        <v>13</v>
      </c>
      <c r="F36" s="24">
        <v>5850</v>
      </c>
    </row>
    <row r="37" spans="1:6" x14ac:dyDescent="0.3">
      <c r="A37" s="25" t="s">
        <v>1068</v>
      </c>
      <c r="B37" t="s">
        <v>1046</v>
      </c>
      <c r="C37" t="s">
        <v>982</v>
      </c>
      <c r="D37" t="s">
        <v>1032</v>
      </c>
      <c r="E37" s="24">
        <v>19</v>
      </c>
      <c r="F37" s="24">
        <v>1520</v>
      </c>
    </row>
    <row r="38" spans="1:6" x14ac:dyDescent="0.3">
      <c r="A38" s="25" t="s">
        <v>1069</v>
      </c>
      <c r="B38" t="s">
        <v>1046</v>
      </c>
      <c r="C38" t="s">
        <v>982</v>
      </c>
      <c r="D38" t="s">
        <v>1025</v>
      </c>
      <c r="E38" s="24">
        <v>14</v>
      </c>
      <c r="F38" s="24">
        <v>1120</v>
      </c>
    </row>
    <row r="39" spans="1:6" x14ac:dyDescent="0.3">
      <c r="A39" s="25" t="s">
        <v>1070</v>
      </c>
      <c r="B39" t="s">
        <v>1049</v>
      </c>
      <c r="C39" t="s">
        <v>982</v>
      </c>
      <c r="D39" t="s">
        <v>1025</v>
      </c>
      <c r="E39" s="24">
        <v>19</v>
      </c>
      <c r="F39" s="24">
        <v>1520</v>
      </c>
    </row>
    <row r="40" spans="1:6" x14ac:dyDescent="0.3">
      <c r="A40" s="25" t="s">
        <v>1071</v>
      </c>
      <c r="B40" t="s">
        <v>1020</v>
      </c>
      <c r="C40" t="s">
        <v>1030</v>
      </c>
      <c r="D40" t="s">
        <v>1034</v>
      </c>
      <c r="E40" s="24">
        <v>17</v>
      </c>
      <c r="F40" s="24">
        <v>3400</v>
      </c>
    </row>
    <row r="41" spans="1:6" x14ac:dyDescent="0.3">
      <c r="A41" s="25" t="s">
        <v>1070</v>
      </c>
      <c r="B41" t="s">
        <v>1029</v>
      </c>
      <c r="C41" t="s">
        <v>1030</v>
      </c>
      <c r="D41" t="s">
        <v>1023</v>
      </c>
      <c r="E41" s="24">
        <v>20</v>
      </c>
      <c r="F41" s="24">
        <v>4000</v>
      </c>
    </row>
    <row r="42" spans="1:6" x14ac:dyDescent="0.3">
      <c r="A42" s="25" t="s">
        <v>1072</v>
      </c>
      <c r="B42" t="s">
        <v>1027</v>
      </c>
      <c r="C42" t="s">
        <v>977</v>
      </c>
      <c r="D42" t="s">
        <v>1023</v>
      </c>
      <c r="E42" s="24">
        <v>2</v>
      </c>
      <c r="F42" s="24">
        <v>1600</v>
      </c>
    </row>
    <row r="43" spans="1:6" x14ac:dyDescent="0.3">
      <c r="A43" s="25" t="s">
        <v>1073</v>
      </c>
      <c r="B43" t="s">
        <v>1027</v>
      </c>
      <c r="C43" t="s">
        <v>1037</v>
      </c>
      <c r="D43" t="s">
        <v>1025</v>
      </c>
      <c r="E43" s="24">
        <v>8</v>
      </c>
      <c r="F43" s="24">
        <v>22400</v>
      </c>
    </row>
    <row r="44" spans="1:6" x14ac:dyDescent="0.3">
      <c r="A44" s="25" t="s">
        <v>1074</v>
      </c>
      <c r="B44" t="s">
        <v>1020</v>
      </c>
      <c r="C44" t="s">
        <v>979</v>
      </c>
      <c r="D44" t="s">
        <v>1032</v>
      </c>
      <c r="E44" s="24">
        <v>6</v>
      </c>
      <c r="F44" s="24">
        <v>900</v>
      </c>
    </row>
    <row r="45" spans="1:6" x14ac:dyDescent="0.3">
      <c r="A45" s="25" t="s">
        <v>1055</v>
      </c>
      <c r="B45" t="s">
        <v>1029</v>
      </c>
      <c r="C45" t="s">
        <v>1030</v>
      </c>
      <c r="D45" t="s">
        <v>1031</v>
      </c>
      <c r="E45" s="24">
        <v>15</v>
      </c>
      <c r="F45" s="24">
        <v>3000</v>
      </c>
    </row>
    <row r="46" spans="1:6" x14ac:dyDescent="0.3">
      <c r="A46" s="25" t="s">
        <v>1075</v>
      </c>
      <c r="B46" t="s">
        <v>1027</v>
      </c>
      <c r="C46" t="s">
        <v>982</v>
      </c>
      <c r="D46" t="s">
        <v>1032</v>
      </c>
      <c r="E46" s="24">
        <v>19</v>
      </c>
      <c r="F46" s="24">
        <v>1520</v>
      </c>
    </row>
    <row r="47" spans="1:6" x14ac:dyDescent="0.3">
      <c r="A47" s="25" t="s">
        <v>1076</v>
      </c>
      <c r="B47" t="s">
        <v>1020</v>
      </c>
      <c r="C47" t="s">
        <v>974</v>
      </c>
      <c r="D47" t="s">
        <v>1032</v>
      </c>
      <c r="E47" s="24">
        <v>11</v>
      </c>
      <c r="F47" s="24">
        <v>38500</v>
      </c>
    </row>
    <row r="48" spans="1:6" x14ac:dyDescent="0.3">
      <c r="A48" s="25" t="s">
        <v>1053</v>
      </c>
      <c r="B48" t="s">
        <v>1020</v>
      </c>
      <c r="C48" t="s">
        <v>1030</v>
      </c>
      <c r="D48" t="s">
        <v>1021</v>
      </c>
      <c r="E48" s="24">
        <v>5</v>
      </c>
      <c r="F48" s="24">
        <v>1000</v>
      </c>
    </row>
    <row r="49" spans="1:6" x14ac:dyDescent="0.3">
      <c r="A49" s="25" t="s">
        <v>1055</v>
      </c>
      <c r="B49" t="s">
        <v>1020</v>
      </c>
      <c r="C49" t="s">
        <v>986</v>
      </c>
      <c r="D49" t="s">
        <v>1051</v>
      </c>
      <c r="E49" s="24">
        <v>15</v>
      </c>
      <c r="F49" s="24">
        <v>9000</v>
      </c>
    </row>
    <row r="50" spans="1:6" x14ac:dyDescent="0.3">
      <c r="A50" s="25" t="s">
        <v>1077</v>
      </c>
      <c r="B50" t="s">
        <v>1049</v>
      </c>
      <c r="C50" t="s">
        <v>1037</v>
      </c>
      <c r="D50" t="s">
        <v>1034</v>
      </c>
      <c r="E50" s="24">
        <v>14</v>
      </c>
      <c r="F50" s="24">
        <v>39200</v>
      </c>
    </row>
    <row r="51" spans="1:6" x14ac:dyDescent="0.3">
      <c r="A51" s="25" t="s">
        <v>1078</v>
      </c>
      <c r="B51" t="s">
        <v>1049</v>
      </c>
      <c r="C51" t="s">
        <v>982</v>
      </c>
      <c r="D51" t="s">
        <v>1056</v>
      </c>
      <c r="E51" s="24">
        <v>17</v>
      </c>
      <c r="F51" s="24">
        <v>1360</v>
      </c>
    </row>
    <row r="52" spans="1:6" x14ac:dyDescent="0.3">
      <c r="A52" s="25" t="s">
        <v>1079</v>
      </c>
      <c r="B52" t="s">
        <v>1049</v>
      </c>
      <c r="C52" t="s">
        <v>982</v>
      </c>
      <c r="D52" t="s">
        <v>1021</v>
      </c>
      <c r="E52" s="24">
        <v>8</v>
      </c>
      <c r="F52" s="24">
        <v>640</v>
      </c>
    </row>
    <row r="53" spans="1:6" x14ac:dyDescent="0.3">
      <c r="A53" s="25" t="s">
        <v>1080</v>
      </c>
      <c r="B53" t="s">
        <v>1046</v>
      </c>
      <c r="C53" t="s">
        <v>974</v>
      </c>
      <c r="D53" t="s">
        <v>1051</v>
      </c>
      <c r="E53" s="24">
        <v>6</v>
      </c>
      <c r="F53" s="24">
        <v>21000</v>
      </c>
    </row>
    <row r="54" spans="1:6" x14ac:dyDescent="0.3">
      <c r="A54" s="25" t="s">
        <v>1081</v>
      </c>
      <c r="B54" t="s">
        <v>1046</v>
      </c>
      <c r="C54" t="s">
        <v>982</v>
      </c>
      <c r="D54" t="s">
        <v>1023</v>
      </c>
      <c r="E54" s="24">
        <v>9</v>
      </c>
      <c r="F54" s="24">
        <v>720</v>
      </c>
    </row>
    <row r="55" spans="1:6" x14ac:dyDescent="0.3">
      <c r="A55" s="25" t="s">
        <v>379</v>
      </c>
      <c r="B55" t="s">
        <v>1020</v>
      </c>
      <c r="C55" t="s">
        <v>974</v>
      </c>
      <c r="D55" t="s">
        <v>1034</v>
      </c>
      <c r="E55" s="24">
        <v>4</v>
      </c>
      <c r="F55" s="24">
        <v>14000</v>
      </c>
    </row>
    <row r="56" spans="1:6" x14ac:dyDescent="0.3">
      <c r="A56" s="25" t="s">
        <v>1082</v>
      </c>
      <c r="B56" t="s">
        <v>1027</v>
      </c>
      <c r="C56" t="s">
        <v>1030</v>
      </c>
      <c r="D56" t="s">
        <v>1034</v>
      </c>
      <c r="E56" s="24">
        <v>9</v>
      </c>
      <c r="F56" s="24">
        <v>1800</v>
      </c>
    </row>
    <row r="57" spans="1:6" x14ac:dyDescent="0.3">
      <c r="A57" s="25" t="s">
        <v>1083</v>
      </c>
      <c r="B57" t="s">
        <v>1049</v>
      </c>
      <c r="C57" t="s">
        <v>982</v>
      </c>
      <c r="D57" t="s">
        <v>1023</v>
      </c>
      <c r="E57" s="24">
        <v>15</v>
      </c>
      <c r="F57" s="24">
        <v>1200</v>
      </c>
    </row>
    <row r="58" spans="1:6" x14ac:dyDescent="0.3">
      <c r="A58" s="25" t="s">
        <v>1084</v>
      </c>
      <c r="B58" t="s">
        <v>1049</v>
      </c>
      <c r="C58" t="s">
        <v>977</v>
      </c>
      <c r="D58" t="s">
        <v>1023</v>
      </c>
      <c r="E58" s="24">
        <v>9</v>
      </c>
      <c r="F58" s="24">
        <v>7200</v>
      </c>
    </row>
    <row r="59" spans="1:6" x14ac:dyDescent="0.3">
      <c r="A59" s="25" t="s">
        <v>1085</v>
      </c>
      <c r="B59" t="s">
        <v>1029</v>
      </c>
      <c r="C59" t="s">
        <v>1043</v>
      </c>
      <c r="D59" t="s">
        <v>1051</v>
      </c>
      <c r="E59" s="24">
        <v>17</v>
      </c>
      <c r="F59" s="24">
        <v>7650</v>
      </c>
    </row>
    <row r="60" spans="1:6" x14ac:dyDescent="0.3">
      <c r="A60" s="25" t="s">
        <v>1086</v>
      </c>
      <c r="B60" t="s">
        <v>1046</v>
      </c>
      <c r="C60" t="s">
        <v>974</v>
      </c>
      <c r="D60" t="s">
        <v>1032</v>
      </c>
      <c r="E60" s="24">
        <v>6</v>
      </c>
      <c r="F60" s="24">
        <v>21000</v>
      </c>
    </row>
    <row r="61" spans="1:6" x14ac:dyDescent="0.3">
      <c r="A61" s="25" t="s">
        <v>1087</v>
      </c>
      <c r="B61" t="s">
        <v>1020</v>
      </c>
      <c r="C61" t="s">
        <v>1043</v>
      </c>
      <c r="D61" t="s">
        <v>1051</v>
      </c>
      <c r="E61" s="24">
        <v>19</v>
      </c>
      <c r="F61" s="24">
        <v>8550</v>
      </c>
    </row>
    <row r="62" spans="1:6" x14ac:dyDescent="0.3">
      <c r="A62" s="25" t="s">
        <v>1088</v>
      </c>
      <c r="B62" t="s">
        <v>1020</v>
      </c>
      <c r="C62" t="s">
        <v>986</v>
      </c>
      <c r="D62" t="s">
        <v>1021</v>
      </c>
      <c r="E62" s="24">
        <v>19</v>
      </c>
      <c r="F62" s="24">
        <v>11400</v>
      </c>
    </row>
    <row r="63" spans="1:6" x14ac:dyDescent="0.3">
      <c r="A63" s="25" t="s">
        <v>1089</v>
      </c>
      <c r="B63" t="s">
        <v>1027</v>
      </c>
      <c r="C63" t="s">
        <v>986</v>
      </c>
      <c r="D63" t="s">
        <v>1025</v>
      </c>
      <c r="E63" s="24">
        <v>1</v>
      </c>
      <c r="F63" s="24">
        <v>600</v>
      </c>
    </row>
    <row r="64" spans="1:6" x14ac:dyDescent="0.3">
      <c r="A64" s="25" t="s">
        <v>1038</v>
      </c>
      <c r="B64" t="s">
        <v>1027</v>
      </c>
      <c r="C64" t="s">
        <v>979</v>
      </c>
      <c r="D64" t="s">
        <v>1056</v>
      </c>
      <c r="E64" s="24">
        <v>17</v>
      </c>
      <c r="F64" s="24">
        <v>2550</v>
      </c>
    </row>
    <row r="65" spans="1:6" x14ac:dyDescent="0.3">
      <c r="A65" s="25" t="s">
        <v>507</v>
      </c>
      <c r="B65" t="s">
        <v>1027</v>
      </c>
      <c r="C65" t="s">
        <v>982</v>
      </c>
      <c r="D65" t="s">
        <v>1034</v>
      </c>
      <c r="E65" s="24">
        <v>1</v>
      </c>
      <c r="F65" s="24">
        <v>80</v>
      </c>
    </row>
    <row r="66" spans="1:6" x14ac:dyDescent="0.3">
      <c r="A66" s="25" t="s">
        <v>1090</v>
      </c>
      <c r="B66" t="s">
        <v>1020</v>
      </c>
      <c r="C66" t="s">
        <v>977</v>
      </c>
      <c r="D66" t="s">
        <v>1039</v>
      </c>
      <c r="E66" s="24">
        <v>17</v>
      </c>
      <c r="F66" s="24">
        <v>13600</v>
      </c>
    </row>
    <row r="67" spans="1:6" x14ac:dyDescent="0.3">
      <c r="A67" s="25" t="s">
        <v>1091</v>
      </c>
      <c r="B67" t="s">
        <v>1020</v>
      </c>
      <c r="C67" t="s">
        <v>986</v>
      </c>
      <c r="D67" t="s">
        <v>1039</v>
      </c>
      <c r="E67" s="24">
        <v>18</v>
      </c>
      <c r="F67" s="24">
        <v>10800</v>
      </c>
    </row>
    <row r="68" spans="1:6" x14ac:dyDescent="0.3">
      <c r="A68" s="25" t="s">
        <v>1092</v>
      </c>
      <c r="B68" t="s">
        <v>1046</v>
      </c>
      <c r="C68" t="s">
        <v>977</v>
      </c>
      <c r="D68" t="s">
        <v>1034</v>
      </c>
      <c r="E68" s="24">
        <v>9</v>
      </c>
      <c r="F68" s="24">
        <v>7200</v>
      </c>
    </row>
    <row r="69" spans="1:6" x14ac:dyDescent="0.3">
      <c r="A69" s="25" t="s">
        <v>1093</v>
      </c>
      <c r="B69" t="s">
        <v>1046</v>
      </c>
      <c r="C69" t="s">
        <v>974</v>
      </c>
      <c r="D69" t="s">
        <v>1056</v>
      </c>
      <c r="E69" s="24">
        <v>18</v>
      </c>
      <c r="F69" s="24">
        <v>63000</v>
      </c>
    </row>
    <row r="70" spans="1:6" x14ac:dyDescent="0.3">
      <c r="A70" s="25" t="s">
        <v>1094</v>
      </c>
      <c r="B70" t="s">
        <v>1027</v>
      </c>
      <c r="C70" t="s">
        <v>977</v>
      </c>
      <c r="D70" t="s">
        <v>1034</v>
      </c>
      <c r="E70" s="24">
        <v>4</v>
      </c>
      <c r="F70" s="24">
        <v>3200</v>
      </c>
    </row>
    <row r="71" spans="1:6" x14ac:dyDescent="0.3">
      <c r="A71" s="25" t="s">
        <v>1095</v>
      </c>
      <c r="B71" t="s">
        <v>1049</v>
      </c>
      <c r="C71" t="s">
        <v>986</v>
      </c>
      <c r="D71" t="s">
        <v>1025</v>
      </c>
      <c r="E71" s="24">
        <v>6</v>
      </c>
      <c r="F71" s="24">
        <v>3600</v>
      </c>
    </row>
    <row r="72" spans="1:6" x14ac:dyDescent="0.3">
      <c r="A72" s="25" t="s">
        <v>1096</v>
      </c>
      <c r="B72" t="s">
        <v>1029</v>
      </c>
      <c r="C72" t="s">
        <v>1043</v>
      </c>
      <c r="D72" t="s">
        <v>1051</v>
      </c>
      <c r="E72" s="24">
        <v>5</v>
      </c>
      <c r="F72" s="24">
        <v>2250</v>
      </c>
    </row>
    <row r="73" spans="1:6" x14ac:dyDescent="0.3">
      <c r="A73" s="25" t="s">
        <v>1097</v>
      </c>
      <c r="B73" t="s">
        <v>1049</v>
      </c>
      <c r="C73" t="s">
        <v>1030</v>
      </c>
      <c r="D73" t="s">
        <v>1021</v>
      </c>
      <c r="E73" s="24">
        <v>10</v>
      </c>
      <c r="F73" s="24">
        <v>2000</v>
      </c>
    </row>
    <row r="74" spans="1:6" x14ac:dyDescent="0.3">
      <c r="A74" s="25" t="s">
        <v>1098</v>
      </c>
      <c r="B74" t="s">
        <v>1020</v>
      </c>
      <c r="C74" t="s">
        <v>1030</v>
      </c>
      <c r="D74" t="s">
        <v>1039</v>
      </c>
      <c r="E74" s="24">
        <v>20</v>
      </c>
      <c r="F74" s="24">
        <v>4000</v>
      </c>
    </row>
    <row r="75" spans="1:6" x14ac:dyDescent="0.3">
      <c r="A75" s="25" t="s">
        <v>269</v>
      </c>
      <c r="B75" t="s">
        <v>1027</v>
      </c>
      <c r="C75" t="s">
        <v>986</v>
      </c>
      <c r="D75" t="s">
        <v>1031</v>
      </c>
      <c r="E75" s="24">
        <v>18</v>
      </c>
      <c r="F75" s="24">
        <v>10800</v>
      </c>
    </row>
    <row r="76" spans="1:6" x14ac:dyDescent="0.3">
      <c r="A76" s="25" t="s">
        <v>1099</v>
      </c>
      <c r="B76" t="s">
        <v>1029</v>
      </c>
      <c r="C76" t="s">
        <v>979</v>
      </c>
      <c r="D76" t="s">
        <v>1056</v>
      </c>
      <c r="E76" s="24">
        <v>9</v>
      </c>
      <c r="F76" s="24">
        <v>1350</v>
      </c>
    </row>
    <row r="77" spans="1:6" x14ac:dyDescent="0.3">
      <c r="A77" s="25" t="s">
        <v>1100</v>
      </c>
      <c r="B77" t="s">
        <v>1049</v>
      </c>
      <c r="C77" t="s">
        <v>986</v>
      </c>
      <c r="D77" t="s">
        <v>1031</v>
      </c>
      <c r="E77" s="24">
        <v>17</v>
      </c>
      <c r="F77" s="24">
        <v>10200</v>
      </c>
    </row>
    <row r="78" spans="1:6" x14ac:dyDescent="0.3">
      <c r="A78" s="25" t="s">
        <v>1101</v>
      </c>
      <c r="B78" t="s">
        <v>1020</v>
      </c>
      <c r="C78" t="s">
        <v>1037</v>
      </c>
      <c r="D78" t="s">
        <v>1023</v>
      </c>
      <c r="E78" s="24">
        <v>14</v>
      </c>
      <c r="F78" s="24">
        <v>39200</v>
      </c>
    </row>
    <row r="79" spans="1:6" x14ac:dyDescent="0.3">
      <c r="A79" s="25" t="s">
        <v>1102</v>
      </c>
      <c r="B79" t="s">
        <v>1027</v>
      </c>
      <c r="C79" t="s">
        <v>982</v>
      </c>
      <c r="D79" t="s">
        <v>1025</v>
      </c>
      <c r="E79" s="24">
        <v>3</v>
      </c>
      <c r="F79" s="24">
        <v>240</v>
      </c>
    </row>
    <row r="80" spans="1:6" x14ac:dyDescent="0.3">
      <c r="A80" s="25" t="s">
        <v>1095</v>
      </c>
      <c r="B80" t="s">
        <v>1027</v>
      </c>
      <c r="C80" t="s">
        <v>1043</v>
      </c>
      <c r="D80" t="s">
        <v>1034</v>
      </c>
      <c r="E80" s="24">
        <v>12</v>
      </c>
      <c r="F80" s="24">
        <v>5400</v>
      </c>
    </row>
    <row r="81" spans="1:6" x14ac:dyDescent="0.3">
      <c r="A81" s="25" t="s">
        <v>1103</v>
      </c>
      <c r="B81" t="s">
        <v>1020</v>
      </c>
      <c r="C81" t="s">
        <v>982</v>
      </c>
      <c r="D81" t="s">
        <v>1023</v>
      </c>
      <c r="E81" s="24">
        <v>2</v>
      </c>
      <c r="F81" s="24">
        <v>160</v>
      </c>
    </row>
    <row r="82" spans="1:6" x14ac:dyDescent="0.3">
      <c r="A82" s="25" t="s">
        <v>1104</v>
      </c>
      <c r="B82" t="s">
        <v>1046</v>
      </c>
      <c r="C82" t="s">
        <v>979</v>
      </c>
      <c r="D82" t="s">
        <v>1025</v>
      </c>
      <c r="E82" s="24">
        <v>11</v>
      </c>
      <c r="F82" s="24">
        <v>1650</v>
      </c>
    </row>
    <row r="83" spans="1:6" x14ac:dyDescent="0.3">
      <c r="A83" s="25" t="s">
        <v>1105</v>
      </c>
      <c r="B83" t="s">
        <v>1027</v>
      </c>
      <c r="C83" t="s">
        <v>1037</v>
      </c>
      <c r="D83" t="s">
        <v>1064</v>
      </c>
      <c r="E83" s="24">
        <v>6</v>
      </c>
      <c r="F83" s="24">
        <v>16800</v>
      </c>
    </row>
    <row r="84" spans="1:6" x14ac:dyDescent="0.3">
      <c r="A84" s="25" t="s">
        <v>1073</v>
      </c>
      <c r="B84" t="s">
        <v>1027</v>
      </c>
      <c r="C84" t="s">
        <v>986</v>
      </c>
      <c r="D84" t="s">
        <v>1031</v>
      </c>
      <c r="E84" s="24">
        <v>15</v>
      </c>
      <c r="F84" s="24">
        <v>9000</v>
      </c>
    </row>
    <row r="85" spans="1:6" x14ac:dyDescent="0.3">
      <c r="A85" s="25" t="s">
        <v>1036</v>
      </c>
      <c r="B85" t="s">
        <v>1029</v>
      </c>
      <c r="C85" t="s">
        <v>979</v>
      </c>
      <c r="D85" t="s">
        <v>1034</v>
      </c>
      <c r="E85" s="24">
        <v>13</v>
      </c>
      <c r="F85" s="24">
        <v>1950</v>
      </c>
    </row>
    <row r="86" spans="1:6" x14ac:dyDescent="0.3">
      <c r="A86" s="25" t="s">
        <v>1106</v>
      </c>
      <c r="B86" t="s">
        <v>1049</v>
      </c>
      <c r="C86" t="s">
        <v>982</v>
      </c>
      <c r="D86" t="s">
        <v>1021</v>
      </c>
      <c r="E86" s="24">
        <v>15</v>
      </c>
      <c r="F86" s="24">
        <v>1200</v>
      </c>
    </row>
    <row r="87" spans="1:6" x14ac:dyDescent="0.3">
      <c r="A87" s="25" t="s">
        <v>1053</v>
      </c>
      <c r="B87" t="s">
        <v>1027</v>
      </c>
      <c r="C87" t="s">
        <v>974</v>
      </c>
      <c r="D87" t="s">
        <v>1034</v>
      </c>
      <c r="E87" s="24">
        <v>2</v>
      </c>
      <c r="F87" s="24">
        <v>7000</v>
      </c>
    </row>
    <row r="88" spans="1:6" x14ac:dyDescent="0.3">
      <c r="A88" s="25" t="s">
        <v>1107</v>
      </c>
      <c r="B88" t="s">
        <v>1029</v>
      </c>
      <c r="C88" t="s">
        <v>974</v>
      </c>
      <c r="D88" t="s">
        <v>1023</v>
      </c>
      <c r="E88" s="24">
        <v>15</v>
      </c>
      <c r="F88" s="24">
        <v>52500</v>
      </c>
    </row>
    <row r="89" spans="1:6" x14ac:dyDescent="0.3">
      <c r="A89" s="25" t="s">
        <v>1108</v>
      </c>
      <c r="B89" t="s">
        <v>1027</v>
      </c>
      <c r="C89" t="s">
        <v>979</v>
      </c>
      <c r="D89" t="s">
        <v>1025</v>
      </c>
      <c r="E89" s="24">
        <v>18</v>
      </c>
      <c r="F89" s="24">
        <v>2700</v>
      </c>
    </row>
    <row r="90" spans="1:6" x14ac:dyDescent="0.3">
      <c r="A90" s="25" t="s">
        <v>1109</v>
      </c>
      <c r="B90" t="s">
        <v>1020</v>
      </c>
      <c r="C90" t="s">
        <v>1043</v>
      </c>
      <c r="D90" t="s">
        <v>1039</v>
      </c>
      <c r="E90" s="24">
        <v>2</v>
      </c>
      <c r="F90" s="24">
        <v>900</v>
      </c>
    </row>
    <row r="91" spans="1:6" x14ac:dyDescent="0.3">
      <c r="A91" s="25" t="s">
        <v>1110</v>
      </c>
      <c r="B91" t="s">
        <v>1020</v>
      </c>
      <c r="C91" t="s">
        <v>982</v>
      </c>
      <c r="D91" t="s">
        <v>1056</v>
      </c>
      <c r="E91" s="24">
        <v>11</v>
      </c>
      <c r="F91" s="24">
        <v>880</v>
      </c>
    </row>
    <row r="92" spans="1:6" x14ac:dyDescent="0.3">
      <c r="A92" s="25" t="s">
        <v>1075</v>
      </c>
      <c r="B92" t="s">
        <v>1027</v>
      </c>
      <c r="C92" t="s">
        <v>977</v>
      </c>
      <c r="D92" t="s">
        <v>1032</v>
      </c>
      <c r="E92" s="24">
        <v>10</v>
      </c>
      <c r="F92" s="24">
        <v>8000</v>
      </c>
    </row>
    <row r="93" spans="1:6" x14ac:dyDescent="0.3">
      <c r="A93" s="25" t="s">
        <v>1111</v>
      </c>
      <c r="B93" t="s">
        <v>1027</v>
      </c>
      <c r="C93" t="s">
        <v>977</v>
      </c>
      <c r="D93" t="s">
        <v>1025</v>
      </c>
      <c r="E93" s="24">
        <v>20</v>
      </c>
      <c r="F93" s="24">
        <v>16000</v>
      </c>
    </row>
    <row r="94" spans="1:6" x14ac:dyDescent="0.3">
      <c r="A94" s="25" t="s">
        <v>1112</v>
      </c>
      <c r="B94" t="s">
        <v>1027</v>
      </c>
      <c r="C94" t="s">
        <v>979</v>
      </c>
      <c r="D94" t="s">
        <v>1032</v>
      </c>
      <c r="E94" s="24">
        <v>11</v>
      </c>
      <c r="F94" s="24">
        <v>1650</v>
      </c>
    </row>
    <row r="95" spans="1:6" x14ac:dyDescent="0.3">
      <c r="A95" s="25" t="s">
        <v>1113</v>
      </c>
      <c r="B95" t="s">
        <v>1046</v>
      </c>
      <c r="C95" t="s">
        <v>977</v>
      </c>
      <c r="D95" t="s">
        <v>1032</v>
      </c>
      <c r="E95" s="24">
        <v>4</v>
      </c>
      <c r="F95" s="24">
        <v>3200</v>
      </c>
    </row>
    <row r="96" spans="1:6" x14ac:dyDescent="0.3">
      <c r="A96" s="25" t="s">
        <v>1114</v>
      </c>
      <c r="B96" t="s">
        <v>1049</v>
      </c>
      <c r="C96" t="s">
        <v>979</v>
      </c>
      <c r="D96" t="s">
        <v>1039</v>
      </c>
      <c r="E96" s="24">
        <v>3</v>
      </c>
      <c r="F96" s="24">
        <v>450</v>
      </c>
    </row>
    <row r="97" spans="1:6" x14ac:dyDescent="0.3">
      <c r="A97" s="25" t="s">
        <v>1040</v>
      </c>
      <c r="B97" t="s">
        <v>1020</v>
      </c>
      <c r="C97" t="s">
        <v>982</v>
      </c>
      <c r="D97" t="s">
        <v>1023</v>
      </c>
      <c r="E97" s="24">
        <v>14</v>
      </c>
      <c r="F97" s="24">
        <v>1120</v>
      </c>
    </row>
    <row r="98" spans="1:6" x14ac:dyDescent="0.3">
      <c r="A98" s="25" t="s">
        <v>1115</v>
      </c>
      <c r="B98" t="s">
        <v>1029</v>
      </c>
      <c r="C98" t="s">
        <v>982</v>
      </c>
      <c r="D98" t="s">
        <v>1032</v>
      </c>
      <c r="E98" s="24">
        <v>13</v>
      </c>
      <c r="F98" s="24">
        <v>1040</v>
      </c>
    </row>
    <row r="99" spans="1:6" x14ac:dyDescent="0.3">
      <c r="A99" s="25" t="s">
        <v>739</v>
      </c>
      <c r="B99" t="s">
        <v>1029</v>
      </c>
      <c r="C99" t="s">
        <v>1030</v>
      </c>
      <c r="D99" t="s">
        <v>1039</v>
      </c>
      <c r="E99" s="24">
        <v>9</v>
      </c>
      <c r="F99" s="24">
        <v>1800</v>
      </c>
    </row>
    <row r="100" spans="1:6" x14ac:dyDescent="0.3">
      <c r="A100" s="25" t="s">
        <v>1116</v>
      </c>
      <c r="B100" t="s">
        <v>1020</v>
      </c>
      <c r="C100" t="s">
        <v>1030</v>
      </c>
      <c r="D100" t="s">
        <v>1056</v>
      </c>
      <c r="E100" s="24">
        <v>7</v>
      </c>
      <c r="F100" s="24">
        <v>1400</v>
      </c>
    </row>
    <row r="101" spans="1:6" x14ac:dyDescent="0.3">
      <c r="A101" s="25" t="s">
        <v>1117</v>
      </c>
      <c r="B101" t="s">
        <v>1020</v>
      </c>
      <c r="C101" t="s">
        <v>1030</v>
      </c>
      <c r="D101" t="s">
        <v>1025</v>
      </c>
      <c r="E101" s="24">
        <v>14</v>
      </c>
      <c r="F101" s="24">
        <v>2800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B7B5E-990D-4C0A-9798-A73664DCB1C6}">
  <sheetPr>
    <tabColor rgb="FFED7D31"/>
  </sheetPr>
  <dimension ref="A1:A55"/>
  <sheetViews>
    <sheetView workbookViewId="0"/>
  </sheetViews>
  <sheetFormatPr defaultRowHeight="14.4" x14ac:dyDescent="0.3"/>
  <cols>
    <col min="1" max="1" width="101.88671875" customWidth="1"/>
  </cols>
  <sheetData>
    <row r="1" spans="1:1" ht="23.4" x14ac:dyDescent="0.45">
      <c r="A1" s="22" t="s">
        <v>1166</v>
      </c>
    </row>
    <row r="2" spans="1:1" x14ac:dyDescent="0.3">
      <c r="A2" t="s">
        <v>1167</v>
      </c>
    </row>
    <row r="4" spans="1:1" x14ac:dyDescent="0.3">
      <c r="A4" t="s">
        <v>1168</v>
      </c>
    </row>
    <row r="5" spans="1:1" x14ac:dyDescent="0.3">
      <c r="A5" s="18" t="s">
        <v>1169</v>
      </c>
    </row>
    <row r="6" spans="1:1" x14ac:dyDescent="0.3">
      <c r="A6" t="s">
        <v>1168</v>
      </c>
    </row>
    <row r="8" spans="1:1" x14ac:dyDescent="0.3">
      <c r="A8" s="34" t="s">
        <v>1170</v>
      </c>
    </row>
    <row r="9" spans="1:1" x14ac:dyDescent="0.3">
      <c r="A9" t="s">
        <v>1171</v>
      </c>
    </row>
    <row r="10" spans="1:1" x14ac:dyDescent="0.3">
      <c r="A10" t="s">
        <v>1172</v>
      </c>
    </row>
    <row r="11" spans="1:1" x14ac:dyDescent="0.3">
      <c r="A11" t="s">
        <v>1173</v>
      </c>
    </row>
    <row r="12" spans="1:1" x14ac:dyDescent="0.3">
      <c r="A12" t="s">
        <v>1174</v>
      </c>
    </row>
    <row r="14" spans="1:1" x14ac:dyDescent="0.3">
      <c r="A14" s="34" t="s">
        <v>1175</v>
      </c>
    </row>
    <row r="15" spans="1:1" x14ac:dyDescent="0.3">
      <c r="A15" t="s">
        <v>1176</v>
      </c>
    </row>
    <row r="16" spans="1:1" x14ac:dyDescent="0.3">
      <c r="A16" t="s">
        <v>1177</v>
      </c>
    </row>
    <row r="17" spans="1:1" x14ac:dyDescent="0.3">
      <c r="A17" t="s">
        <v>1178</v>
      </c>
    </row>
    <row r="18" spans="1:1" x14ac:dyDescent="0.3">
      <c r="A18" t="s">
        <v>1179</v>
      </c>
    </row>
    <row r="20" spans="1:1" x14ac:dyDescent="0.3">
      <c r="A20" s="34" t="s">
        <v>1180</v>
      </c>
    </row>
    <row r="21" spans="1:1" x14ac:dyDescent="0.3">
      <c r="A21" t="s">
        <v>1181</v>
      </c>
    </row>
    <row r="22" spans="1:1" x14ac:dyDescent="0.3">
      <c r="A22" t="s">
        <v>1182</v>
      </c>
    </row>
    <row r="23" spans="1:1" x14ac:dyDescent="0.3">
      <c r="A23" t="s">
        <v>1183</v>
      </c>
    </row>
    <row r="25" spans="1:1" x14ac:dyDescent="0.3">
      <c r="A25" s="34" t="s">
        <v>1184</v>
      </c>
    </row>
    <row r="26" spans="1:1" x14ac:dyDescent="0.3">
      <c r="A26" t="s">
        <v>1185</v>
      </c>
    </row>
    <row r="27" spans="1:1" x14ac:dyDescent="0.3">
      <c r="A27" t="s">
        <v>1186</v>
      </c>
    </row>
    <row r="28" spans="1:1" x14ac:dyDescent="0.3">
      <c r="A28" t="s">
        <v>1187</v>
      </c>
    </row>
    <row r="30" spans="1:1" x14ac:dyDescent="0.3">
      <c r="A30" t="s">
        <v>1168</v>
      </c>
    </row>
    <row r="31" spans="1:1" x14ac:dyDescent="0.3">
      <c r="A31" s="18" t="s">
        <v>1188</v>
      </c>
    </row>
    <row r="32" spans="1:1" x14ac:dyDescent="0.3">
      <c r="A32" t="s">
        <v>1168</v>
      </c>
    </row>
    <row r="34" spans="1:1" x14ac:dyDescent="0.3">
      <c r="A34" s="34" t="s">
        <v>1189</v>
      </c>
    </row>
    <row r="35" spans="1:1" x14ac:dyDescent="0.3">
      <c r="A35" t="s">
        <v>1190</v>
      </c>
    </row>
    <row r="36" spans="1:1" x14ac:dyDescent="0.3">
      <c r="A36" t="s">
        <v>1191</v>
      </c>
    </row>
    <row r="37" spans="1:1" x14ac:dyDescent="0.3">
      <c r="A37" t="s">
        <v>1192</v>
      </c>
    </row>
    <row r="39" spans="1:1" x14ac:dyDescent="0.3">
      <c r="A39" s="34" t="s">
        <v>1193</v>
      </c>
    </row>
    <row r="40" spans="1:1" x14ac:dyDescent="0.3">
      <c r="A40" t="s">
        <v>1194</v>
      </c>
    </row>
    <row r="41" spans="1:1" x14ac:dyDescent="0.3">
      <c r="A41" t="s">
        <v>1195</v>
      </c>
    </row>
    <row r="43" spans="1:1" x14ac:dyDescent="0.3">
      <c r="A43" s="34" t="s">
        <v>1196</v>
      </c>
    </row>
    <row r="44" spans="1:1" x14ac:dyDescent="0.3">
      <c r="A44" t="s">
        <v>1197</v>
      </c>
    </row>
    <row r="45" spans="1:1" x14ac:dyDescent="0.3">
      <c r="A45" t="s">
        <v>1198</v>
      </c>
    </row>
    <row r="46" spans="1:1" x14ac:dyDescent="0.3">
      <c r="A46" t="s">
        <v>1199</v>
      </c>
    </row>
    <row r="48" spans="1:1" x14ac:dyDescent="0.3">
      <c r="A48" s="34" t="s">
        <v>1200</v>
      </c>
    </row>
    <row r="49" spans="1:1" x14ac:dyDescent="0.3">
      <c r="A49" t="s">
        <v>1201</v>
      </c>
    </row>
    <row r="50" spans="1:1" x14ac:dyDescent="0.3">
      <c r="A50" t="s">
        <v>1202</v>
      </c>
    </row>
    <row r="51" spans="1:1" x14ac:dyDescent="0.3">
      <c r="A51" t="s">
        <v>1203</v>
      </c>
    </row>
    <row r="53" spans="1:1" x14ac:dyDescent="0.3">
      <c r="A53" s="34" t="s">
        <v>1204</v>
      </c>
    </row>
    <row r="54" spans="1:1" x14ac:dyDescent="0.3">
      <c r="A54" t="s">
        <v>1205</v>
      </c>
    </row>
    <row r="55" spans="1:1" x14ac:dyDescent="0.3">
      <c r="A55" t="s">
        <v>1206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17C05-3E12-484D-BFCC-23374F13036C}">
  <sheetPr>
    <tabColor rgb="FFED7D31"/>
  </sheetPr>
  <dimension ref="A1:A40"/>
  <sheetViews>
    <sheetView workbookViewId="0"/>
  </sheetViews>
  <sheetFormatPr defaultRowHeight="14.4" x14ac:dyDescent="0.3"/>
  <cols>
    <col min="1" max="1" width="92.5546875" customWidth="1"/>
  </cols>
  <sheetData>
    <row r="1" spans="1:1" ht="23.4" x14ac:dyDescent="0.45">
      <c r="A1" s="22" t="s">
        <v>1207</v>
      </c>
    </row>
    <row r="2" spans="1:1" x14ac:dyDescent="0.3">
      <c r="A2" t="s">
        <v>1208</v>
      </c>
    </row>
    <row r="4" spans="1:1" x14ac:dyDescent="0.3">
      <c r="A4" s="18"/>
    </row>
    <row r="40" spans="1:1" x14ac:dyDescent="0.3">
      <c r="A40" s="1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7EEF2-2214-4000-8664-0CC96CC796FF}">
  <sheetPr>
    <tabColor rgb="FFED7D31"/>
  </sheetPr>
  <dimension ref="A1:E95"/>
  <sheetViews>
    <sheetView workbookViewId="0"/>
  </sheetViews>
  <sheetFormatPr defaultRowHeight="14.4" x14ac:dyDescent="0.3"/>
  <cols>
    <col min="1" max="1" width="92.5546875" customWidth="1"/>
    <col min="2" max="5" width="14.77734375" customWidth="1"/>
  </cols>
  <sheetData>
    <row r="1" spans="1:1" ht="23.4" x14ac:dyDescent="0.45">
      <c r="A1" s="22" t="s">
        <v>1240</v>
      </c>
    </row>
    <row r="2" spans="1:1" x14ac:dyDescent="0.3">
      <c r="A2" t="s">
        <v>1241</v>
      </c>
    </row>
    <row r="4" spans="1:1" x14ac:dyDescent="0.3">
      <c r="A4" t="s">
        <v>1242</v>
      </c>
    </row>
    <row r="5" spans="1:1" x14ac:dyDescent="0.3">
      <c r="A5" t="s">
        <v>1243</v>
      </c>
    </row>
    <row r="6" spans="1:1" x14ac:dyDescent="0.3">
      <c r="A6" t="s">
        <v>1244</v>
      </c>
    </row>
    <row r="7" spans="1:1" x14ac:dyDescent="0.3">
      <c r="A7" t="s">
        <v>1245</v>
      </c>
    </row>
    <row r="9" spans="1:1" x14ac:dyDescent="0.3">
      <c r="A9" t="s">
        <v>1168</v>
      </c>
    </row>
    <row r="10" spans="1:1" x14ac:dyDescent="0.3">
      <c r="A10" t="s">
        <v>1246</v>
      </c>
    </row>
    <row r="11" spans="1:1" x14ac:dyDescent="0.3">
      <c r="A11" t="s">
        <v>1168</v>
      </c>
    </row>
    <row r="55" spans="1:5" x14ac:dyDescent="0.3">
      <c r="A55" t="s">
        <v>1168</v>
      </c>
    </row>
    <row r="56" spans="1:5" x14ac:dyDescent="0.3">
      <c r="A56" s="18" t="s">
        <v>1247</v>
      </c>
    </row>
    <row r="57" spans="1:5" x14ac:dyDescent="0.3">
      <c r="A57" t="s">
        <v>1168</v>
      </c>
    </row>
    <row r="59" spans="1:5" x14ac:dyDescent="0.3">
      <c r="A59" t="s">
        <v>1248</v>
      </c>
    </row>
    <row r="61" spans="1:5" x14ac:dyDescent="0.3">
      <c r="A61" s="4" t="s">
        <v>969</v>
      </c>
      <c r="B61" s="4" t="s">
        <v>1016</v>
      </c>
      <c r="C61" s="4" t="s">
        <v>1249</v>
      </c>
      <c r="D61" s="4" t="s">
        <v>1250</v>
      </c>
      <c r="E61" s="4" t="s">
        <v>1251</v>
      </c>
    </row>
    <row r="62" spans="1:5" x14ac:dyDescent="0.3">
      <c r="A62" t="s">
        <v>974</v>
      </c>
      <c r="B62" t="s">
        <v>1020</v>
      </c>
      <c r="C62" s="24">
        <v>45000</v>
      </c>
      <c r="D62" s="24">
        <v>52000</v>
      </c>
      <c r="E62" s="24">
        <v>100000</v>
      </c>
    </row>
    <row r="63" spans="1:5" x14ac:dyDescent="0.3">
      <c r="A63" t="s">
        <v>974</v>
      </c>
      <c r="B63" t="s">
        <v>1049</v>
      </c>
      <c r="C63" s="24">
        <v>38000</v>
      </c>
      <c r="D63" s="24">
        <v>41000</v>
      </c>
      <c r="E63" s="24">
        <v>80000</v>
      </c>
    </row>
    <row r="64" spans="1:5" x14ac:dyDescent="0.3">
      <c r="A64" t="s">
        <v>977</v>
      </c>
      <c r="B64" t="s">
        <v>1020</v>
      </c>
      <c r="C64" s="24">
        <v>12000</v>
      </c>
      <c r="D64" s="24">
        <v>15000</v>
      </c>
      <c r="E64" s="24">
        <v>30000</v>
      </c>
    </row>
    <row r="65" spans="1:5" x14ac:dyDescent="0.3">
      <c r="A65" t="s">
        <v>977</v>
      </c>
      <c r="B65" t="s">
        <v>1049</v>
      </c>
      <c r="C65" s="24">
        <v>9000</v>
      </c>
      <c r="D65" s="24">
        <v>11000</v>
      </c>
      <c r="E65" s="24">
        <v>25000</v>
      </c>
    </row>
    <row r="66" spans="1:5" x14ac:dyDescent="0.3">
      <c r="A66" t="s">
        <v>979</v>
      </c>
      <c r="B66" t="s">
        <v>1020</v>
      </c>
      <c r="C66" s="24">
        <v>5000</v>
      </c>
      <c r="D66" s="24">
        <v>6500</v>
      </c>
      <c r="E66" s="24">
        <v>15000</v>
      </c>
    </row>
    <row r="67" spans="1:5" x14ac:dyDescent="0.3">
      <c r="A67" t="s">
        <v>979</v>
      </c>
      <c r="B67" t="s">
        <v>1049</v>
      </c>
      <c r="C67" s="24">
        <v>4200</v>
      </c>
      <c r="D67" s="24">
        <v>5800</v>
      </c>
      <c r="E67" s="24">
        <v>12000</v>
      </c>
    </row>
    <row r="68" spans="1:5" x14ac:dyDescent="0.3">
      <c r="A68" t="s">
        <v>982</v>
      </c>
      <c r="B68" t="s">
        <v>1020</v>
      </c>
      <c r="C68" s="24">
        <v>3000</v>
      </c>
      <c r="D68" s="24">
        <v>3500</v>
      </c>
      <c r="E68" s="24">
        <v>8000</v>
      </c>
    </row>
    <row r="69" spans="1:5" x14ac:dyDescent="0.3">
      <c r="A69" t="s">
        <v>982</v>
      </c>
      <c r="B69" t="s">
        <v>1049</v>
      </c>
      <c r="C69" s="24">
        <v>2500</v>
      </c>
      <c r="D69" s="24">
        <v>2800</v>
      </c>
      <c r="E69" s="24">
        <v>6000</v>
      </c>
    </row>
    <row r="72" spans="1:5" x14ac:dyDescent="0.3">
      <c r="A72" t="s">
        <v>1252</v>
      </c>
    </row>
    <row r="74" spans="1:5" x14ac:dyDescent="0.3">
      <c r="A74" t="s">
        <v>1253</v>
      </c>
    </row>
    <row r="75" spans="1:5" x14ac:dyDescent="0.3">
      <c r="A75" t="s">
        <v>1254</v>
      </c>
    </row>
    <row r="77" spans="1:5" x14ac:dyDescent="0.3">
      <c r="A77" t="s">
        <v>1255</v>
      </c>
    </row>
    <row r="78" spans="1:5" x14ac:dyDescent="0.3">
      <c r="A78" t="s">
        <v>1254</v>
      </c>
    </row>
    <row r="80" spans="1:5" x14ac:dyDescent="0.3">
      <c r="A80" t="s">
        <v>1256</v>
      </c>
    </row>
    <row r="81" spans="1:2" x14ac:dyDescent="0.3">
      <c r="A81" t="s">
        <v>1254</v>
      </c>
    </row>
    <row r="83" spans="1:2" x14ac:dyDescent="0.3">
      <c r="A83" t="s">
        <v>1257</v>
      </c>
    </row>
    <row r="84" spans="1:2" x14ac:dyDescent="0.3">
      <c r="A84" t="s">
        <v>1254</v>
      </c>
    </row>
    <row r="86" spans="1:2" x14ac:dyDescent="0.3">
      <c r="A86" t="s">
        <v>1258</v>
      </c>
    </row>
    <row r="87" spans="1:2" x14ac:dyDescent="0.3">
      <c r="A87" t="s">
        <v>1254</v>
      </c>
    </row>
    <row r="90" spans="1:2" x14ac:dyDescent="0.3">
      <c r="A90" t="s">
        <v>1168</v>
      </c>
    </row>
    <row r="91" spans="1:2" x14ac:dyDescent="0.3">
      <c r="A91" s="18" t="s">
        <v>1259</v>
      </c>
    </row>
    <row r="92" spans="1:2" x14ac:dyDescent="0.3">
      <c r="A92" t="s">
        <v>1260</v>
      </c>
      <c r="B92" t="s">
        <v>1261</v>
      </c>
    </row>
    <row r="93" spans="1:2" x14ac:dyDescent="0.3">
      <c r="A93" t="s">
        <v>1262</v>
      </c>
      <c r="B93" t="s">
        <v>1261</v>
      </c>
    </row>
    <row r="94" spans="1:2" x14ac:dyDescent="0.3">
      <c r="A94" t="s">
        <v>1263</v>
      </c>
      <c r="B94" t="s">
        <v>1264</v>
      </c>
    </row>
    <row r="95" spans="1:2" x14ac:dyDescent="0.3">
      <c r="A95" t="s">
        <v>1265</v>
      </c>
      <c r="B95" t="s">
        <v>1266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69D08-0DD3-4A7B-BB1A-4BFC774DE493}">
  <sheetPr>
    <tabColor rgb="FFED7D31"/>
  </sheetPr>
  <dimension ref="A1:H66"/>
  <sheetViews>
    <sheetView tabSelected="1" workbookViewId="0"/>
  </sheetViews>
  <sheetFormatPr defaultRowHeight="14.4" x14ac:dyDescent="0.3"/>
  <cols>
    <col min="1" max="1" width="14.77734375" customWidth="1"/>
    <col min="2" max="2" width="18.5546875" customWidth="1"/>
    <col min="3" max="3" width="14.77734375" customWidth="1"/>
    <col min="4" max="4" width="16.6640625" customWidth="1"/>
    <col min="5" max="5" width="18.5546875" customWidth="1"/>
    <col min="6" max="6" width="9.21875" customWidth="1"/>
    <col min="7" max="7" width="14.77734375" customWidth="1"/>
    <col min="8" max="8" width="16.6640625" customWidth="1"/>
  </cols>
  <sheetData>
    <row r="1" spans="1:8" ht="21" x14ac:dyDescent="0.4">
      <c r="A1" s="39" t="s">
        <v>1267</v>
      </c>
    </row>
    <row r="2" spans="1:8" x14ac:dyDescent="0.3">
      <c r="A2" t="s">
        <v>1268</v>
      </c>
    </row>
    <row r="4" spans="1:8" x14ac:dyDescent="0.3">
      <c r="A4" s="18" t="s">
        <v>1269</v>
      </c>
    </row>
    <row r="5" spans="1:8" x14ac:dyDescent="0.3">
      <c r="A5" t="s">
        <v>1270</v>
      </c>
    </row>
    <row r="6" spans="1:8" x14ac:dyDescent="0.3">
      <c r="A6" t="s">
        <v>1271</v>
      </c>
    </row>
    <row r="7" spans="1:8" x14ac:dyDescent="0.3">
      <c r="A7" t="s">
        <v>1272</v>
      </c>
    </row>
    <row r="8" spans="1:8" x14ac:dyDescent="0.3">
      <c r="A8" t="s">
        <v>1273</v>
      </c>
    </row>
    <row r="9" spans="1:8" x14ac:dyDescent="0.3">
      <c r="A9" t="s">
        <v>1274</v>
      </c>
    </row>
    <row r="10" spans="1:8" x14ac:dyDescent="0.3">
      <c r="A10" t="s">
        <v>1275</v>
      </c>
    </row>
    <row r="12" spans="1:8" x14ac:dyDescent="0.3">
      <c r="A12" s="34" t="s">
        <v>1276</v>
      </c>
    </row>
    <row r="14" spans="1:8" x14ac:dyDescent="0.3">
      <c r="A14" t="s">
        <v>967</v>
      </c>
      <c r="B14" t="s">
        <v>1015</v>
      </c>
      <c r="C14" t="s">
        <v>1277</v>
      </c>
      <c r="D14" t="s">
        <v>1278</v>
      </c>
      <c r="E14" t="s">
        <v>1279</v>
      </c>
      <c r="F14" t="s">
        <v>1280</v>
      </c>
      <c r="G14" t="s">
        <v>1281</v>
      </c>
      <c r="H14" t="s">
        <v>971</v>
      </c>
    </row>
    <row r="15" spans="1:8" x14ac:dyDescent="0.3">
      <c r="A15" t="s">
        <v>972</v>
      </c>
      <c r="B15" s="25" t="s">
        <v>595</v>
      </c>
      <c r="C15" t="s">
        <v>1282</v>
      </c>
      <c r="D15" t="s">
        <v>1283</v>
      </c>
      <c r="E15" t="s">
        <v>1056</v>
      </c>
      <c r="F15">
        <v>7</v>
      </c>
      <c r="G15" s="24">
        <v>800</v>
      </c>
      <c r="H15" s="24">
        <v>5600</v>
      </c>
    </row>
    <row r="16" spans="1:8" x14ac:dyDescent="0.3">
      <c r="A16" t="s">
        <v>975</v>
      </c>
      <c r="B16" s="25" t="s">
        <v>1028</v>
      </c>
      <c r="C16" t="s">
        <v>1284</v>
      </c>
      <c r="D16" t="s">
        <v>1283</v>
      </c>
      <c r="E16" t="s">
        <v>1285</v>
      </c>
      <c r="F16">
        <v>3</v>
      </c>
      <c r="G16" s="24">
        <v>800</v>
      </c>
      <c r="H16" s="24">
        <v>2400</v>
      </c>
    </row>
    <row r="17" spans="1:8" x14ac:dyDescent="0.3">
      <c r="A17" t="s">
        <v>978</v>
      </c>
      <c r="B17" s="25" t="s">
        <v>1286</v>
      </c>
      <c r="C17" t="s">
        <v>1287</v>
      </c>
      <c r="D17" t="s">
        <v>977</v>
      </c>
      <c r="E17" t="s">
        <v>1285</v>
      </c>
      <c r="F17">
        <v>5</v>
      </c>
      <c r="G17" s="24">
        <v>800</v>
      </c>
      <c r="H17" s="24">
        <v>4000</v>
      </c>
    </row>
    <row r="18" spans="1:8" x14ac:dyDescent="0.3">
      <c r="A18" t="s">
        <v>980</v>
      </c>
      <c r="B18" s="25" t="s">
        <v>1069</v>
      </c>
      <c r="C18" t="s">
        <v>1049</v>
      </c>
      <c r="D18" t="s">
        <v>1288</v>
      </c>
      <c r="E18" t="s">
        <v>1285</v>
      </c>
      <c r="F18">
        <v>2</v>
      </c>
      <c r="G18" s="24">
        <v>600</v>
      </c>
      <c r="H18" s="24">
        <v>1200</v>
      </c>
    </row>
    <row r="19" spans="1:8" x14ac:dyDescent="0.3">
      <c r="A19" t="s">
        <v>983</v>
      </c>
      <c r="B19" s="25" t="s">
        <v>1289</v>
      </c>
      <c r="C19" t="s">
        <v>1290</v>
      </c>
      <c r="D19" t="s">
        <v>1291</v>
      </c>
      <c r="E19" t="s">
        <v>1051</v>
      </c>
      <c r="F19">
        <v>7</v>
      </c>
      <c r="G19" s="24">
        <v>150</v>
      </c>
      <c r="H19" s="24">
        <v>1050</v>
      </c>
    </row>
    <row r="20" spans="1:8" x14ac:dyDescent="0.3">
      <c r="A20" t="s">
        <v>985</v>
      </c>
      <c r="B20" s="25" t="s">
        <v>379</v>
      </c>
      <c r="C20" t="s">
        <v>1029</v>
      </c>
      <c r="D20" t="s">
        <v>1292</v>
      </c>
      <c r="E20" t="s">
        <v>1293</v>
      </c>
      <c r="F20">
        <v>8</v>
      </c>
      <c r="G20" s="24">
        <v>3500</v>
      </c>
      <c r="H20" s="24">
        <v>28000</v>
      </c>
    </row>
    <row r="21" spans="1:8" x14ac:dyDescent="0.3">
      <c r="A21" t="s">
        <v>987</v>
      </c>
      <c r="B21" s="25" t="s">
        <v>1294</v>
      </c>
      <c r="C21" t="s">
        <v>1284</v>
      </c>
      <c r="D21" t="s">
        <v>1291</v>
      </c>
      <c r="E21" t="s">
        <v>1293</v>
      </c>
      <c r="F21">
        <v>1</v>
      </c>
      <c r="G21" s="24">
        <v>150</v>
      </c>
      <c r="H21" s="24">
        <v>150</v>
      </c>
    </row>
    <row r="22" spans="1:8" x14ac:dyDescent="0.3">
      <c r="A22" t="s">
        <v>988</v>
      </c>
      <c r="B22" s="25" t="s">
        <v>1073</v>
      </c>
      <c r="C22" t="s">
        <v>1029</v>
      </c>
      <c r="D22" t="s">
        <v>1288</v>
      </c>
      <c r="E22" t="s">
        <v>1021</v>
      </c>
      <c r="F22">
        <v>9</v>
      </c>
      <c r="G22" s="24">
        <v>600</v>
      </c>
      <c r="H22" s="24">
        <v>5400</v>
      </c>
    </row>
    <row r="23" spans="1:8" x14ac:dyDescent="0.3">
      <c r="A23" t="s">
        <v>989</v>
      </c>
      <c r="B23" s="25" t="s">
        <v>1295</v>
      </c>
      <c r="C23" t="s">
        <v>1287</v>
      </c>
      <c r="D23" t="s">
        <v>1292</v>
      </c>
      <c r="E23" t="s">
        <v>1293</v>
      </c>
      <c r="F23">
        <v>6</v>
      </c>
      <c r="G23" s="24">
        <v>3500</v>
      </c>
      <c r="H23" s="24">
        <v>21000</v>
      </c>
    </row>
    <row r="24" spans="1:8" x14ac:dyDescent="0.3">
      <c r="A24" t="s">
        <v>991</v>
      </c>
      <c r="B24" s="25" t="s">
        <v>1296</v>
      </c>
      <c r="C24" t="s">
        <v>1020</v>
      </c>
      <c r="D24" t="s">
        <v>1283</v>
      </c>
      <c r="E24" t="s">
        <v>1297</v>
      </c>
      <c r="F24">
        <v>5</v>
      </c>
      <c r="G24" s="24">
        <v>800</v>
      </c>
      <c r="H24" s="24">
        <v>4000</v>
      </c>
    </row>
    <row r="25" spans="1:8" x14ac:dyDescent="0.3">
      <c r="A25" t="s">
        <v>992</v>
      </c>
      <c r="B25" s="25" t="s">
        <v>1298</v>
      </c>
      <c r="C25" t="s">
        <v>1299</v>
      </c>
      <c r="D25" t="s">
        <v>1288</v>
      </c>
      <c r="E25" t="s">
        <v>1300</v>
      </c>
      <c r="F25">
        <v>6</v>
      </c>
      <c r="G25" s="24">
        <v>600</v>
      </c>
      <c r="H25" s="24">
        <v>3600</v>
      </c>
    </row>
    <row r="26" spans="1:8" x14ac:dyDescent="0.3">
      <c r="A26" t="s">
        <v>993</v>
      </c>
      <c r="B26" s="25" t="s">
        <v>1301</v>
      </c>
      <c r="C26" t="s">
        <v>1046</v>
      </c>
      <c r="D26" t="s">
        <v>977</v>
      </c>
      <c r="E26" t="s">
        <v>1031</v>
      </c>
      <c r="F26">
        <v>4</v>
      </c>
      <c r="G26" s="24">
        <v>800</v>
      </c>
      <c r="H26" s="24">
        <v>3200</v>
      </c>
    </row>
    <row r="27" spans="1:8" x14ac:dyDescent="0.3">
      <c r="A27" t="s">
        <v>994</v>
      </c>
      <c r="B27" s="25" t="s">
        <v>1302</v>
      </c>
      <c r="C27" t="s">
        <v>1046</v>
      </c>
      <c r="D27" t="s">
        <v>977</v>
      </c>
      <c r="E27" t="s">
        <v>1021</v>
      </c>
      <c r="F27">
        <v>4</v>
      </c>
      <c r="G27" s="24">
        <v>800</v>
      </c>
      <c r="H27" s="24">
        <v>3200</v>
      </c>
    </row>
    <row r="28" spans="1:8" x14ac:dyDescent="0.3">
      <c r="A28" t="s">
        <v>995</v>
      </c>
      <c r="B28" s="25" t="s">
        <v>1303</v>
      </c>
      <c r="C28" t="s">
        <v>1282</v>
      </c>
      <c r="D28" t="s">
        <v>1292</v>
      </c>
      <c r="E28" t="s">
        <v>1051</v>
      </c>
      <c r="F28">
        <v>10</v>
      </c>
      <c r="G28" s="24">
        <v>3500</v>
      </c>
      <c r="H28" s="24">
        <v>35000</v>
      </c>
    </row>
    <row r="29" spans="1:8" x14ac:dyDescent="0.3">
      <c r="A29" t="s">
        <v>996</v>
      </c>
      <c r="B29" s="25" t="s">
        <v>1304</v>
      </c>
      <c r="C29" t="s">
        <v>1046</v>
      </c>
      <c r="D29" t="s">
        <v>1288</v>
      </c>
      <c r="E29" t="s">
        <v>1021</v>
      </c>
      <c r="F29">
        <v>7</v>
      </c>
      <c r="G29" s="24">
        <v>600</v>
      </c>
      <c r="H29" s="24">
        <v>4200</v>
      </c>
    </row>
    <row r="30" spans="1:8" x14ac:dyDescent="0.3">
      <c r="A30" t="s">
        <v>997</v>
      </c>
      <c r="B30" s="25" t="s">
        <v>1305</v>
      </c>
      <c r="C30" t="s">
        <v>1284</v>
      </c>
      <c r="D30" t="s">
        <v>1288</v>
      </c>
      <c r="E30" t="s">
        <v>1031</v>
      </c>
      <c r="F30">
        <v>3</v>
      </c>
      <c r="G30" s="24">
        <v>600</v>
      </c>
      <c r="H30" s="24">
        <v>1800</v>
      </c>
    </row>
    <row r="31" spans="1:8" x14ac:dyDescent="0.3">
      <c r="A31" t="s">
        <v>998</v>
      </c>
      <c r="B31" s="25" t="s">
        <v>1306</v>
      </c>
      <c r="C31" t="s">
        <v>1020</v>
      </c>
      <c r="D31" t="s">
        <v>1288</v>
      </c>
      <c r="E31" t="s">
        <v>1300</v>
      </c>
      <c r="F31">
        <v>3</v>
      </c>
      <c r="G31" s="24">
        <v>600</v>
      </c>
      <c r="H31" s="24">
        <v>1800</v>
      </c>
    </row>
    <row r="32" spans="1:8" x14ac:dyDescent="0.3">
      <c r="A32" t="s">
        <v>999</v>
      </c>
      <c r="B32" s="25" t="s">
        <v>1307</v>
      </c>
      <c r="C32" t="s">
        <v>1046</v>
      </c>
      <c r="D32" t="s">
        <v>977</v>
      </c>
      <c r="E32" t="s">
        <v>1031</v>
      </c>
      <c r="F32">
        <v>5</v>
      </c>
      <c r="G32" s="24">
        <v>800</v>
      </c>
      <c r="H32" s="24">
        <v>4000</v>
      </c>
    </row>
    <row r="33" spans="1:8" x14ac:dyDescent="0.3">
      <c r="A33" t="s">
        <v>1000</v>
      </c>
      <c r="B33" s="25" t="s">
        <v>1308</v>
      </c>
      <c r="C33" t="s">
        <v>1049</v>
      </c>
      <c r="D33" t="s">
        <v>977</v>
      </c>
      <c r="E33" t="s">
        <v>1285</v>
      </c>
      <c r="F33">
        <v>1</v>
      </c>
      <c r="G33" s="24">
        <v>800</v>
      </c>
      <c r="H33" s="24">
        <v>800</v>
      </c>
    </row>
    <row r="34" spans="1:8" x14ac:dyDescent="0.3">
      <c r="A34" t="s">
        <v>1001</v>
      </c>
      <c r="B34" s="25" t="s">
        <v>1060</v>
      </c>
      <c r="C34" t="s">
        <v>1299</v>
      </c>
      <c r="D34" t="s">
        <v>1292</v>
      </c>
      <c r="E34" t="s">
        <v>1051</v>
      </c>
      <c r="F34">
        <v>10</v>
      </c>
      <c r="G34" s="24">
        <v>3500</v>
      </c>
      <c r="H34" s="24">
        <v>35000</v>
      </c>
    </row>
    <row r="35" spans="1:8" x14ac:dyDescent="0.3">
      <c r="A35" t="s">
        <v>1002</v>
      </c>
      <c r="B35" s="25" t="s">
        <v>1309</v>
      </c>
      <c r="C35" t="s">
        <v>1029</v>
      </c>
      <c r="D35" t="s">
        <v>1292</v>
      </c>
      <c r="E35" t="s">
        <v>1310</v>
      </c>
      <c r="F35">
        <v>3</v>
      </c>
      <c r="G35" s="24">
        <v>3500</v>
      </c>
      <c r="H35" s="24">
        <v>10500</v>
      </c>
    </row>
    <row r="36" spans="1:8" x14ac:dyDescent="0.3">
      <c r="A36" t="s">
        <v>1003</v>
      </c>
      <c r="B36" s="25" t="s">
        <v>1038</v>
      </c>
      <c r="C36" t="s">
        <v>1046</v>
      </c>
      <c r="D36" t="s">
        <v>1288</v>
      </c>
      <c r="E36" t="s">
        <v>1031</v>
      </c>
      <c r="F36">
        <v>9</v>
      </c>
      <c r="G36" s="24">
        <v>600</v>
      </c>
      <c r="H36" s="24">
        <v>5400</v>
      </c>
    </row>
    <row r="37" spans="1:8" x14ac:dyDescent="0.3">
      <c r="A37" t="s">
        <v>1004</v>
      </c>
      <c r="B37" s="25" t="s">
        <v>1307</v>
      </c>
      <c r="C37" t="s">
        <v>1290</v>
      </c>
      <c r="D37" t="s">
        <v>979</v>
      </c>
      <c r="E37" t="s">
        <v>1310</v>
      </c>
      <c r="F37">
        <v>4</v>
      </c>
      <c r="G37" s="24">
        <v>150</v>
      </c>
      <c r="H37" s="24">
        <v>600</v>
      </c>
    </row>
    <row r="38" spans="1:8" x14ac:dyDescent="0.3">
      <c r="A38" t="s">
        <v>1311</v>
      </c>
      <c r="B38" s="25" t="s">
        <v>1038</v>
      </c>
      <c r="C38" t="s">
        <v>1284</v>
      </c>
      <c r="D38" t="s">
        <v>1288</v>
      </c>
      <c r="E38" t="s">
        <v>1031</v>
      </c>
      <c r="F38">
        <v>9</v>
      </c>
      <c r="G38" s="24">
        <v>600</v>
      </c>
      <c r="H38" s="24">
        <v>5400</v>
      </c>
    </row>
    <row r="39" spans="1:8" x14ac:dyDescent="0.3">
      <c r="A39" t="s">
        <v>1312</v>
      </c>
      <c r="B39" s="25" t="s">
        <v>1036</v>
      </c>
      <c r="C39" t="s">
        <v>1046</v>
      </c>
      <c r="D39" t="s">
        <v>977</v>
      </c>
      <c r="E39" t="s">
        <v>1285</v>
      </c>
      <c r="F39">
        <v>1</v>
      </c>
      <c r="G39" s="24">
        <v>800</v>
      </c>
      <c r="H39" s="24">
        <v>800</v>
      </c>
    </row>
    <row r="40" spans="1:8" x14ac:dyDescent="0.3">
      <c r="A40" t="s">
        <v>1313</v>
      </c>
      <c r="B40" s="25" t="s">
        <v>1314</v>
      </c>
      <c r="C40" t="s">
        <v>1049</v>
      </c>
      <c r="D40" t="s">
        <v>1288</v>
      </c>
      <c r="E40" t="s">
        <v>1297</v>
      </c>
      <c r="F40">
        <v>5</v>
      </c>
      <c r="G40" s="24">
        <v>600</v>
      </c>
      <c r="H40" s="24">
        <v>3000</v>
      </c>
    </row>
    <row r="41" spans="1:8" x14ac:dyDescent="0.3">
      <c r="A41" t="s">
        <v>1315</v>
      </c>
      <c r="B41" s="25" t="s">
        <v>1316</v>
      </c>
      <c r="C41" t="s">
        <v>1299</v>
      </c>
      <c r="D41" t="s">
        <v>1283</v>
      </c>
      <c r="E41" t="s">
        <v>1297</v>
      </c>
      <c r="F41">
        <v>10</v>
      </c>
      <c r="G41" s="24">
        <v>800</v>
      </c>
      <c r="H41" s="24">
        <v>8000</v>
      </c>
    </row>
    <row r="42" spans="1:8" x14ac:dyDescent="0.3">
      <c r="A42" t="s">
        <v>1317</v>
      </c>
      <c r="B42" s="25" t="s">
        <v>1318</v>
      </c>
      <c r="C42" t="s">
        <v>1049</v>
      </c>
      <c r="D42" t="s">
        <v>986</v>
      </c>
      <c r="E42" t="s">
        <v>1319</v>
      </c>
      <c r="F42">
        <v>1</v>
      </c>
      <c r="G42" s="24">
        <v>600</v>
      </c>
      <c r="H42" s="24">
        <v>600</v>
      </c>
    </row>
    <row r="43" spans="1:8" x14ac:dyDescent="0.3">
      <c r="A43" t="s">
        <v>1320</v>
      </c>
      <c r="B43" s="25" t="s">
        <v>1309</v>
      </c>
      <c r="C43" t="s">
        <v>1029</v>
      </c>
      <c r="D43" t="s">
        <v>1283</v>
      </c>
      <c r="E43" t="s">
        <v>1310</v>
      </c>
      <c r="F43">
        <v>3</v>
      </c>
      <c r="G43" s="24">
        <v>800</v>
      </c>
      <c r="H43" s="24">
        <v>2400</v>
      </c>
    </row>
    <row r="44" spans="1:8" x14ac:dyDescent="0.3">
      <c r="A44" t="s">
        <v>1321</v>
      </c>
      <c r="B44" s="25" t="s">
        <v>1322</v>
      </c>
      <c r="C44" t="s">
        <v>1029</v>
      </c>
      <c r="D44" t="s">
        <v>974</v>
      </c>
      <c r="E44" t="s">
        <v>1051</v>
      </c>
      <c r="F44">
        <v>1</v>
      </c>
      <c r="G44" s="24">
        <v>3500</v>
      </c>
      <c r="H44" s="24">
        <v>3500</v>
      </c>
    </row>
    <row r="45" spans="1:8" x14ac:dyDescent="0.3">
      <c r="A45" t="s">
        <v>1323</v>
      </c>
      <c r="B45" s="25" t="s">
        <v>1324</v>
      </c>
      <c r="C45" t="s">
        <v>1299</v>
      </c>
      <c r="D45" t="s">
        <v>1283</v>
      </c>
      <c r="E45" t="s">
        <v>1031</v>
      </c>
      <c r="F45">
        <v>7</v>
      </c>
      <c r="G45" s="24">
        <v>800</v>
      </c>
      <c r="H45" s="24">
        <v>5600</v>
      </c>
    </row>
    <row r="46" spans="1:8" x14ac:dyDescent="0.3">
      <c r="A46" t="s">
        <v>1325</v>
      </c>
      <c r="B46" s="25" t="s">
        <v>1296</v>
      </c>
      <c r="C46" t="s">
        <v>1299</v>
      </c>
      <c r="D46" t="s">
        <v>1291</v>
      </c>
      <c r="E46" t="s">
        <v>1297</v>
      </c>
      <c r="F46">
        <v>7</v>
      </c>
      <c r="G46" s="24">
        <v>150</v>
      </c>
      <c r="H46" s="24">
        <v>1050</v>
      </c>
    </row>
    <row r="47" spans="1:8" x14ac:dyDescent="0.3">
      <c r="A47" t="s">
        <v>1326</v>
      </c>
      <c r="B47" s="25" t="s">
        <v>1327</v>
      </c>
      <c r="C47" t="s">
        <v>1299</v>
      </c>
      <c r="D47" t="s">
        <v>1283</v>
      </c>
      <c r="E47" t="s">
        <v>1300</v>
      </c>
      <c r="F47">
        <v>8</v>
      </c>
      <c r="G47" s="24">
        <v>800</v>
      </c>
      <c r="H47" s="24">
        <v>6400</v>
      </c>
    </row>
    <row r="48" spans="1:8" x14ac:dyDescent="0.3">
      <c r="A48" t="s">
        <v>1328</v>
      </c>
      <c r="B48" s="25" t="s">
        <v>1329</v>
      </c>
      <c r="C48" t="s">
        <v>1282</v>
      </c>
      <c r="D48" t="s">
        <v>986</v>
      </c>
      <c r="E48" t="s">
        <v>1310</v>
      </c>
      <c r="F48">
        <v>3</v>
      </c>
      <c r="G48" s="24">
        <v>600</v>
      </c>
      <c r="H48" s="24">
        <v>1800</v>
      </c>
    </row>
    <row r="49" spans="1:8" x14ac:dyDescent="0.3">
      <c r="A49" t="s">
        <v>1330</v>
      </c>
      <c r="B49" s="25" t="s">
        <v>1331</v>
      </c>
      <c r="C49" t="s">
        <v>1282</v>
      </c>
      <c r="D49" t="s">
        <v>1332</v>
      </c>
      <c r="E49" t="s">
        <v>1319</v>
      </c>
      <c r="F49">
        <v>9</v>
      </c>
      <c r="G49" s="24">
        <v>3500</v>
      </c>
      <c r="H49" s="24">
        <v>31500</v>
      </c>
    </row>
    <row r="50" spans="1:8" x14ac:dyDescent="0.3">
      <c r="A50" t="s">
        <v>1333</v>
      </c>
      <c r="B50" s="25" t="s">
        <v>1334</v>
      </c>
      <c r="C50" t="s">
        <v>1299</v>
      </c>
      <c r="D50" t="s">
        <v>1292</v>
      </c>
      <c r="E50" t="s">
        <v>1051</v>
      </c>
      <c r="F50">
        <v>2</v>
      </c>
      <c r="G50" s="24">
        <v>3500</v>
      </c>
      <c r="H50" s="24">
        <v>7000</v>
      </c>
    </row>
    <row r="51" spans="1:8" x14ac:dyDescent="0.3">
      <c r="A51" t="s">
        <v>1335</v>
      </c>
      <c r="B51" s="25" t="s">
        <v>1336</v>
      </c>
      <c r="C51" t="s">
        <v>1287</v>
      </c>
      <c r="D51" t="s">
        <v>1288</v>
      </c>
      <c r="E51" t="s">
        <v>1031</v>
      </c>
      <c r="F51">
        <v>1</v>
      </c>
      <c r="G51" s="24">
        <v>600</v>
      </c>
      <c r="H51" s="24">
        <v>600</v>
      </c>
    </row>
    <row r="52" spans="1:8" x14ac:dyDescent="0.3">
      <c r="A52" t="s">
        <v>1337</v>
      </c>
      <c r="B52" s="25" t="s">
        <v>1072</v>
      </c>
      <c r="C52" t="s">
        <v>1029</v>
      </c>
      <c r="D52" t="s">
        <v>977</v>
      </c>
      <c r="E52" t="s">
        <v>1285</v>
      </c>
      <c r="F52">
        <v>2</v>
      </c>
      <c r="G52" s="24">
        <v>800</v>
      </c>
      <c r="H52" s="24">
        <v>1600</v>
      </c>
    </row>
    <row r="53" spans="1:8" x14ac:dyDescent="0.3">
      <c r="A53" t="s">
        <v>1338</v>
      </c>
      <c r="B53" s="25" t="s">
        <v>1033</v>
      </c>
      <c r="C53" t="s">
        <v>1284</v>
      </c>
      <c r="D53" t="s">
        <v>979</v>
      </c>
      <c r="E53" t="s">
        <v>1297</v>
      </c>
      <c r="F53">
        <v>8</v>
      </c>
      <c r="G53" s="24">
        <v>150</v>
      </c>
      <c r="H53" s="24">
        <v>1200</v>
      </c>
    </row>
    <row r="54" spans="1:8" x14ac:dyDescent="0.3">
      <c r="A54" t="s">
        <v>1339</v>
      </c>
      <c r="B54" s="25" t="s">
        <v>1340</v>
      </c>
      <c r="C54" t="s">
        <v>1049</v>
      </c>
      <c r="D54" t="s">
        <v>977</v>
      </c>
      <c r="E54" t="s">
        <v>1297</v>
      </c>
      <c r="F54">
        <v>9</v>
      </c>
      <c r="G54" s="24">
        <v>800</v>
      </c>
      <c r="H54" s="24">
        <v>7200</v>
      </c>
    </row>
    <row r="55" spans="1:8" x14ac:dyDescent="0.3">
      <c r="A55" t="s">
        <v>1341</v>
      </c>
      <c r="B55" s="25" t="s">
        <v>1342</v>
      </c>
      <c r="C55" t="s">
        <v>1343</v>
      </c>
      <c r="D55" t="s">
        <v>1332</v>
      </c>
      <c r="E55" t="s">
        <v>1293</v>
      </c>
      <c r="F55">
        <v>3</v>
      </c>
      <c r="G55" s="24">
        <v>3500</v>
      </c>
      <c r="H55" s="24">
        <v>10500</v>
      </c>
    </row>
    <row r="56" spans="1:8" x14ac:dyDescent="0.3">
      <c r="A56" t="s">
        <v>1344</v>
      </c>
      <c r="B56" s="25" t="s">
        <v>1077</v>
      </c>
      <c r="C56" t="s">
        <v>1049</v>
      </c>
      <c r="D56" t="s">
        <v>1291</v>
      </c>
      <c r="E56" t="s">
        <v>1056</v>
      </c>
      <c r="F56">
        <v>7</v>
      </c>
      <c r="G56" s="24">
        <v>150</v>
      </c>
      <c r="H56" s="24">
        <v>1050</v>
      </c>
    </row>
    <row r="57" spans="1:8" x14ac:dyDescent="0.3">
      <c r="A57" t="s">
        <v>1345</v>
      </c>
      <c r="B57" s="25" t="s">
        <v>1303</v>
      </c>
      <c r="C57" t="s">
        <v>1020</v>
      </c>
      <c r="D57" t="s">
        <v>977</v>
      </c>
      <c r="E57" t="s">
        <v>1310</v>
      </c>
      <c r="F57">
        <v>2</v>
      </c>
      <c r="G57" s="24">
        <v>800</v>
      </c>
      <c r="H57" s="24">
        <v>1600</v>
      </c>
    </row>
    <row r="58" spans="1:8" x14ac:dyDescent="0.3">
      <c r="A58" t="s">
        <v>1346</v>
      </c>
      <c r="B58" s="25" t="s">
        <v>1111</v>
      </c>
      <c r="C58" t="s">
        <v>1299</v>
      </c>
      <c r="D58" t="s">
        <v>986</v>
      </c>
      <c r="E58" t="s">
        <v>1285</v>
      </c>
      <c r="F58">
        <v>8</v>
      </c>
      <c r="G58" s="24">
        <v>600</v>
      </c>
      <c r="H58" s="24">
        <v>4800</v>
      </c>
    </row>
    <row r="59" spans="1:8" x14ac:dyDescent="0.3">
      <c r="A59" t="s">
        <v>1347</v>
      </c>
      <c r="B59" s="25" t="s">
        <v>1348</v>
      </c>
      <c r="C59" t="s">
        <v>1049</v>
      </c>
      <c r="D59" t="s">
        <v>1291</v>
      </c>
      <c r="E59" t="s">
        <v>1300</v>
      </c>
      <c r="F59">
        <v>2</v>
      </c>
      <c r="G59" s="24">
        <v>150</v>
      </c>
      <c r="H59" s="24">
        <v>300</v>
      </c>
    </row>
    <row r="60" spans="1:8" x14ac:dyDescent="0.3">
      <c r="A60" t="s">
        <v>1349</v>
      </c>
      <c r="B60" s="25" t="s">
        <v>1306</v>
      </c>
      <c r="C60" t="s">
        <v>1020</v>
      </c>
      <c r="D60" t="s">
        <v>974</v>
      </c>
      <c r="E60" t="s">
        <v>1319</v>
      </c>
      <c r="F60">
        <v>6</v>
      </c>
      <c r="G60" s="24">
        <v>3500</v>
      </c>
      <c r="H60" s="24">
        <v>21000</v>
      </c>
    </row>
    <row r="61" spans="1:8" x14ac:dyDescent="0.3">
      <c r="A61" t="s">
        <v>1350</v>
      </c>
      <c r="B61" s="25" t="s">
        <v>1351</v>
      </c>
      <c r="C61" t="s">
        <v>1284</v>
      </c>
      <c r="D61" t="s">
        <v>986</v>
      </c>
      <c r="E61" t="s">
        <v>1319</v>
      </c>
      <c r="F61">
        <v>8</v>
      </c>
      <c r="G61" s="24">
        <v>600</v>
      </c>
      <c r="H61" s="24">
        <v>4800</v>
      </c>
    </row>
    <row r="62" spans="1:8" x14ac:dyDescent="0.3">
      <c r="A62" t="s">
        <v>1352</v>
      </c>
      <c r="B62" s="25" t="s">
        <v>1327</v>
      </c>
      <c r="C62" t="s">
        <v>1046</v>
      </c>
      <c r="D62" t="s">
        <v>974</v>
      </c>
      <c r="E62" t="s">
        <v>1300</v>
      </c>
      <c r="F62">
        <v>1</v>
      </c>
      <c r="G62" s="24">
        <v>3500</v>
      </c>
      <c r="H62" s="24">
        <v>3500</v>
      </c>
    </row>
    <row r="63" spans="1:8" x14ac:dyDescent="0.3">
      <c r="A63" t="s">
        <v>1353</v>
      </c>
      <c r="B63" s="25" t="s">
        <v>1354</v>
      </c>
      <c r="C63" t="s">
        <v>1029</v>
      </c>
      <c r="D63" t="s">
        <v>1288</v>
      </c>
      <c r="E63" t="s">
        <v>1310</v>
      </c>
      <c r="F63">
        <v>1</v>
      </c>
      <c r="G63" s="24">
        <v>600</v>
      </c>
      <c r="H63" s="24">
        <v>600</v>
      </c>
    </row>
    <row r="64" spans="1:8" x14ac:dyDescent="0.3">
      <c r="A64" t="s">
        <v>1355</v>
      </c>
      <c r="B64" s="25" t="s">
        <v>1322</v>
      </c>
      <c r="C64" t="s">
        <v>1299</v>
      </c>
      <c r="D64" t="s">
        <v>977</v>
      </c>
      <c r="E64" t="s">
        <v>1300</v>
      </c>
      <c r="F64">
        <v>5</v>
      </c>
      <c r="G64" s="24">
        <v>800</v>
      </c>
      <c r="H64" s="24">
        <v>4000</v>
      </c>
    </row>
    <row r="65" spans="1:8" x14ac:dyDescent="0.3">
      <c r="A65" t="s">
        <v>972</v>
      </c>
      <c r="B65" s="25" t="s">
        <v>595</v>
      </c>
      <c r="C65" t="s">
        <v>1282</v>
      </c>
      <c r="D65" t="s">
        <v>1283</v>
      </c>
      <c r="E65" t="s">
        <v>1056</v>
      </c>
      <c r="F65">
        <v>7</v>
      </c>
      <c r="G65" s="24">
        <v>800</v>
      </c>
      <c r="H65" s="24">
        <v>5600</v>
      </c>
    </row>
    <row r="66" spans="1:8" x14ac:dyDescent="0.3">
      <c r="A66" t="s">
        <v>975</v>
      </c>
      <c r="B66" s="25" t="s">
        <v>1028</v>
      </c>
      <c r="C66" t="s">
        <v>1284</v>
      </c>
      <c r="D66" t="s">
        <v>1283</v>
      </c>
      <c r="E66" t="s">
        <v>1285</v>
      </c>
      <c r="F66">
        <v>3</v>
      </c>
      <c r="G66" s="24">
        <v>800</v>
      </c>
      <c r="H66" s="24">
        <v>2400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95E48-EE30-4642-A62D-399B4C3C7C66}">
  <sheetPr>
    <tabColor rgb="FFC00000"/>
  </sheetPr>
  <dimension ref="A1:F47"/>
  <sheetViews>
    <sheetView workbookViewId="0"/>
  </sheetViews>
  <sheetFormatPr defaultRowHeight="14.4" x14ac:dyDescent="0.3"/>
  <cols>
    <col min="1" max="1" width="37" customWidth="1"/>
    <col min="2" max="2" width="27.77734375" customWidth="1"/>
    <col min="3" max="3" width="64.77734375" customWidth="1"/>
  </cols>
  <sheetData>
    <row r="1" spans="1:3" ht="23.4" x14ac:dyDescent="0.45">
      <c r="A1" s="38" t="s">
        <v>1209</v>
      </c>
    </row>
    <row r="2" spans="1:3" x14ac:dyDescent="0.3">
      <c r="A2" t="s">
        <v>1210</v>
      </c>
    </row>
    <row r="4" spans="1:3" x14ac:dyDescent="0.3">
      <c r="A4" t="s">
        <v>1168</v>
      </c>
    </row>
    <row r="5" spans="1:3" x14ac:dyDescent="0.3">
      <c r="A5" t="s">
        <v>1211</v>
      </c>
    </row>
    <row r="6" spans="1:3" x14ac:dyDescent="0.3">
      <c r="A6" t="s">
        <v>1168</v>
      </c>
    </row>
    <row r="8" spans="1:3" x14ac:dyDescent="0.3">
      <c r="A8" s="4" t="s">
        <v>1212</v>
      </c>
      <c r="B8" s="4" t="s">
        <v>1213</v>
      </c>
      <c r="C8" s="4" t="s">
        <v>1214</v>
      </c>
    </row>
    <row r="9" spans="1:3" x14ac:dyDescent="0.3">
      <c r="A9" t="s">
        <v>1156</v>
      </c>
      <c r="B9" t="s">
        <v>1215</v>
      </c>
      <c r="C9" t="s">
        <v>1216</v>
      </c>
    </row>
    <row r="10" spans="1:3" x14ac:dyDescent="0.3">
      <c r="A10" t="s">
        <v>1157</v>
      </c>
      <c r="B10" t="s">
        <v>1217</v>
      </c>
      <c r="C10" t="s">
        <v>1218</v>
      </c>
    </row>
    <row r="11" spans="1:3" x14ac:dyDescent="0.3">
      <c r="A11" t="s">
        <v>1158</v>
      </c>
      <c r="B11" t="s">
        <v>1215</v>
      </c>
      <c r="C11" t="s">
        <v>1219</v>
      </c>
    </row>
    <row r="12" spans="1:3" x14ac:dyDescent="0.3">
      <c r="A12" t="s">
        <v>1159</v>
      </c>
      <c r="B12" t="s">
        <v>1215</v>
      </c>
      <c r="C12" t="s">
        <v>1220</v>
      </c>
    </row>
    <row r="13" spans="1:3" x14ac:dyDescent="0.3">
      <c r="A13" t="s">
        <v>1221</v>
      </c>
      <c r="B13" t="s">
        <v>1215</v>
      </c>
      <c r="C13" t="s">
        <v>1222</v>
      </c>
    </row>
    <row r="14" spans="1:3" x14ac:dyDescent="0.3">
      <c r="A14" t="s">
        <v>1223</v>
      </c>
      <c r="B14" t="s">
        <v>1215</v>
      </c>
      <c r="C14" t="s">
        <v>1224</v>
      </c>
    </row>
    <row r="15" spans="1:3" x14ac:dyDescent="0.3">
      <c r="A15" t="s">
        <v>1225</v>
      </c>
      <c r="B15" t="s">
        <v>1215</v>
      </c>
      <c r="C15" t="s">
        <v>1226</v>
      </c>
    </row>
    <row r="16" spans="1:3" x14ac:dyDescent="0.3">
      <c r="A16" t="s">
        <v>1227</v>
      </c>
      <c r="B16" t="s">
        <v>1215</v>
      </c>
      <c r="C16" t="s">
        <v>1228</v>
      </c>
    </row>
    <row r="17" spans="1:6" x14ac:dyDescent="0.3">
      <c r="A17" t="s">
        <v>1229</v>
      </c>
      <c r="B17" t="s">
        <v>1217</v>
      </c>
      <c r="C17" t="s">
        <v>1230</v>
      </c>
    </row>
    <row r="18" spans="1:6" x14ac:dyDescent="0.3">
      <c r="A18" t="s">
        <v>1231</v>
      </c>
      <c r="B18" t="s">
        <v>1217</v>
      </c>
      <c r="C18" t="s">
        <v>1232</v>
      </c>
    </row>
    <row r="20" spans="1:6" x14ac:dyDescent="0.3">
      <c r="A20" t="s">
        <v>1168</v>
      </c>
    </row>
    <row r="21" spans="1:6" x14ac:dyDescent="0.3">
      <c r="A21" t="s">
        <v>1233</v>
      </c>
    </row>
    <row r="22" spans="1:6" x14ac:dyDescent="0.3">
      <c r="A22" t="s">
        <v>1168</v>
      </c>
    </row>
    <row r="24" spans="1:6" x14ac:dyDescent="0.3">
      <c r="A24" s="4" t="s">
        <v>227</v>
      </c>
      <c r="B24" s="4" t="s">
        <v>884</v>
      </c>
      <c r="C24" s="4" t="s">
        <v>229</v>
      </c>
      <c r="D24" s="4" t="s">
        <v>1234</v>
      </c>
      <c r="E24" s="4" t="s">
        <v>1235</v>
      </c>
      <c r="F24" s="4" t="s">
        <v>235</v>
      </c>
    </row>
    <row r="25" spans="1:6" x14ac:dyDescent="0.3">
      <c r="A25" t="s">
        <v>888</v>
      </c>
      <c r="B25" t="s">
        <v>889</v>
      </c>
      <c r="C25" t="s">
        <v>238</v>
      </c>
      <c r="D25" s="24">
        <v>5500</v>
      </c>
      <c r="E25" s="31">
        <v>43905</v>
      </c>
      <c r="F25" t="s">
        <v>243</v>
      </c>
    </row>
    <row r="26" spans="1:6" x14ac:dyDescent="0.3">
      <c r="A26" t="s">
        <v>890</v>
      </c>
      <c r="B26" t="s">
        <v>891</v>
      </c>
      <c r="C26" t="s">
        <v>253</v>
      </c>
      <c r="D26" s="24">
        <v>4200</v>
      </c>
      <c r="E26" s="31">
        <v>44348</v>
      </c>
      <c r="F26" t="s">
        <v>243</v>
      </c>
    </row>
    <row r="27" spans="1:6" x14ac:dyDescent="0.3">
      <c r="A27" t="s">
        <v>813</v>
      </c>
      <c r="B27" t="s">
        <v>892</v>
      </c>
      <c r="C27" t="s">
        <v>267</v>
      </c>
      <c r="D27" s="24">
        <v>6500</v>
      </c>
      <c r="E27" s="31">
        <v>43534</v>
      </c>
      <c r="F27" t="s">
        <v>243</v>
      </c>
    </row>
    <row r="28" spans="1:6" x14ac:dyDescent="0.3">
      <c r="A28" t="s">
        <v>893</v>
      </c>
      <c r="B28" t="s">
        <v>894</v>
      </c>
      <c r="C28" t="s">
        <v>246</v>
      </c>
      <c r="D28" s="24">
        <v>4800</v>
      </c>
      <c r="E28" s="31">
        <v>44562</v>
      </c>
      <c r="F28" t="s">
        <v>243</v>
      </c>
    </row>
    <row r="29" spans="1:6" x14ac:dyDescent="0.3">
      <c r="A29" t="s">
        <v>819</v>
      </c>
      <c r="B29" t="s">
        <v>895</v>
      </c>
      <c r="C29" t="s">
        <v>274</v>
      </c>
      <c r="D29" s="24">
        <v>5200</v>
      </c>
      <c r="E29" s="31">
        <v>44058</v>
      </c>
      <c r="F29" t="s">
        <v>344</v>
      </c>
    </row>
    <row r="30" spans="1:6" x14ac:dyDescent="0.3">
      <c r="A30" t="s">
        <v>896</v>
      </c>
      <c r="B30" t="s">
        <v>431</v>
      </c>
      <c r="C30" t="s">
        <v>286</v>
      </c>
      <c r="D30" s="24">
        <v>4500</v>
      </c>
      <c r="E30" s="31">
        <v>44384</v>
      </c>
      <c r="F30" t="s">
        <v>243</v>
      </c>
    </row>
    <row r="31" spans="1:6" x14ac:dyDescent="0.3">
      <c r="A31" t="s">
        <v>897</v>
      </c>
      <c r="B31" t="s">
        <v>898</v>
      </c>
      <c r="C31" t="s">
        <v>305</v>
      </c>
      <c r="D31" s="24">
        <v>3800</v>
      </c>
      <c r="E31" s="31">
        <v>45184</v>
      </c>
      <c r="F31" t="s">
        <v>243</v>
      </c>
    </row>
    <row r="32" spans="1:6" x14ac:dyDescent="0.3">
      <c r="A32" t="s">
        <v>829</v>
      </c>
      <c r="B32" t="s">
        <v>899</v>
      </c>
      <c r="C32" t="s">
        <v>260</v>
      </c>
      <c r="D32" s="24">
        <v>7200</v>
      </c>
      <c r="E32" s="31">
        <v>43424</v>
      </c>
      <c r="F32" t="s">
        <v>243</v>
      </c>
    </row>
    <row r="35" spans="1:2" x14ac:dyDescent="0.3">
      <c r="A35" t="s">
        <v>1168</v>
      </c>
    </row>
    <row r="36" spans="1:2" x14ac:dyDescent="0.3">
      <c r="A36" t="s">
        <v>1236</v>
      </c>
    </row>
    <row r="37" spans="1:2" x14ac:dyDescent="0.3">
      <c r="A37" t="s">
        <v>1168</v>
      </c>
    </row>
    <row r="39" spans="1:2" x14ac:dyDescent="0.3">
      <c r="A39" s="4" t="s">
        <v>914</v>
      </c>
      <c r="B39" s="4" t="s">
        <v>1237</v>
      </c>
    </row>
    <row r="40" spans="1:2" x14ac:dyDescent="0.3">
      <c r="A40">
        <f>SUM(F4:F15)</f>
        <v>0</v>
      </c>
      <c r="B40">
        <v>733000</v>
      </c>
    </row>
    <row r="41" spans="1:2" x14ac:dyDescent="0.3">
      <c r="A41">
        <f>SUM(G4:G15)</f>
        <v>0</v>
      </c>
      <c r="B41">
        <v>506000</v>
      </c>
    </row>
    <row r="42" spans="1:2" x14ac:dyDescent="0.3">
      <c r="A42" t="e">
        <f>AVERAGE(F4:F15)</f>
        <v>#DIV/0!</v>
      </c>
      <c r="B42">
        <v>61083.33</v>
      </c>
    </row>
    <row r="43" spans="1:2" x14ac:dyDescent="0.3">
      <c r="A43">
        <f>MAX(F4:F15)</f>
        <v>0</v>
      </c>
      <c r="B43">
        <v>85000</v>
      </c>
    </row>
    <row r="44" spans="1:2" x14ac:dyDescent="0.3">
      <c r="A44">
        <f>MIN(F4:F15)</f>
        <v>0</v>
      </c>
      <c r="B44">
        <v>45000</v>
      </c>
    </row>
    <row r="45" spans="1:2" x14ac:dyDescent="0.3">
      <c r="A45">
        <f>COUNT(F4:F15)</f>
        <v>0</v>
      </c>
      <c r="B45">
        <v>12</v>
      </c>
    </row>
    <row r="46" spans="1:2" x14ac:dyDescent="0.3">
      <c r="A46" t="s">
        <v>1238</v>
      </c>
      <c r="B46">
        <v>227000</v>
      </c>
    </row>
    <row r="47" spans="1:2" x14ac:dyDescent="0.3">
      <c r="A47" s="30">
        <f ca="1">TODAY()</f>
        <v>46167</v>
      </c>
      <c r="B47" t="s">
        <v>1239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B850C-A710-4110-A39B-3AB93E62B47F}">
  <sheetPr>
    <tabColor rgb="FFC00000"/>
  </sheetPr>
  <dimension ref="A1:A2"/>
  <sheetViews>
    <sheetView workbookViewId="0"/>
  </sheetViews>
  <sheetFormatPr defaultRowHeight="14.4" x14ac:dyDescent="0.3"/>
  <cols>
    <col min="1" max="1" width="111.109375" customWidth="1"/>
  </cols>
  <sheetData>
    <row r="1" spans="1:1" ht="23.4" x14ac:dyDescent="0.45">
      <c r="A1" s="22" t="s">
        <v>1356</v>
      </c>
    </row>
    <row r="2" spans="1:1" x14ac:dyDescent="0.3">
      <c r="A2" s="40" t="s">
        <v>1357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Course Overview</vt:lpstr>
      <vt:lpstr>About Trainer</vt:lpstr>
      <vt:lpstr>M1-Introduction</vt:lpstr>
      <vt:lpstr>M2-Data Entry</vt:lpstr>
      <vt:lpstr>M3-Formatting</vt:lpstr>
      <vt:lpstr>M4-Essential Formulas</vt:lpstr>
      <vt:lpstr>M5-Intermediate Functions</vt:lpstr>
      <vt:lpstr>M6-Lookup Functions</vt:lpstr>
      <vt:lpstr>M7-Excel Tables</vt:lpstr>
      <vt:lpstr>M8-Pivot Table</vt:lpstr>
      <vt:lpstr>M9-Charts</vt:lpstr>
      <vt:lpstr>Employee Dataset</vt:lpstr>
      <vt:lpstr>Sales Dataset</vt:lpstr>
      <vt:lpstr>Exercises</vt:lpstr>
      <vt:lpstr>Mini Quiz</vt:lpstr>
      <vt:lpstr>Final Assessment</vt:lpstr>
      <vt:lpstr>Final Project Data</vt:lpstr>
      <vt:lpstr>Answer Key</vt:lpstr>
      <vt:lpstr>Trainer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Fakhrul Syahmi</dc:creator>
  <cp:lastModifiedBy>Fakhrul Syahmi</cp:lastModifiedBy>
  <dcterms:created xsi:type="dcterms:W3CDTF">2026-05-25T00:53:59Z</dcterms:created>
  <dcterms:modified xsi:type="dcterms:W3CDTF">2026-05-25T01:07:56Z</dcterms:modified>
</cp:coreProperties>
</file>